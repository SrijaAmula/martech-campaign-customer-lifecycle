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8a8ecbd11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80d5bfc931b4493"/>
    <x:sheet xmlns:r="http://schemas.openxmlformats.org/officeDocument/2006/relationships" name="Dashboard" sheetId="2" r:id="Rb707b97b93894ce3"/>
    <x:sheet xmlns:r="http://schemas.openxmlformats.org/officeDocument/2006/relationships" name="KPI Glossary" sheetId="3" r:id="R1e19180217ce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262156f8b4a04" /><Relationship Type="http://schemas.openxmlformats.org/officeDocument/2006/relationships/theme" Target="/xl/theme/theme1.xml" Id="R06f492fda6a84541" /><Relationship Type="http://schemas.openxmlformats.org/officeDocument/2006/relationships/sharedStrings" Target="/xl/sharedStrings.xml" Id="R3671600469b34854" /><Relationship Type="http://schemas.openxmlformats.org/officeDocument/2006/relationships/worksheet" Target="/xl/worksheets/sheet1.xml" Id="Rd80d5bfc931b4493" /><Relationship Type="http://schemas.openxmlformats.org/officeDocument/2006/relationships/worksheet" Target="/xl/worksheets/sheet2.xml" Id="Rb707b97b93894ce3" /><Relationship Type="http://schemas.openxmlformats.org/officeDocument/2006/relationships/worksheet" Target="/xl/worksheets/sheet3.xml" Id="R1e19180217ce45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date</x:v>
      </x:c>
      <x:c r="B1" s="3" t="str">
        <x:v>channel</x:v>
      </x:c>
      <x:c r="C1" s="3" t="str">
        <x:v>campaign</x:v>
      </x:c>
      <x:c r="D1" s="3" t="str">
        <x:v>spend</x:v>
      </x:c>
      <x:c r="E1" s="3" t="str">
        <x:v>impressions</x:v>
      </x:c>
      <x:c r="F1" s="3" t="str">
        <x:v>clicks</x:v>
      </x:c>
      <x:c r="G1" s="3" t="str">
        <x:v>leads</x:v>
      </x:c>
      <x:c r="H1" s="3" t="str">
        <x:v>opportunities</x:v>
      </x:c>
      <x:c r="I1" s="3" t="str">
        <x:v>wins</x:v>
      </x:c>
      <x:c r="J1" s="3" t="str">
        <x:v>revenue</x:v>
      </x:c>
    </x:row>
    <x:row r="2">
      <x:c r="A2" t="str">
        <x:v>2026-03-24</x:v>
      </x:c>
      <x:c r="B2" t="str">
        <x:v>Paid Social</x:v>
      </x:c>
      <x:c r="C2" t="str">
        <x:v>New Product</x:v>
      </x:c>
      <x:c r="D2" t="n">
        <x:v>2673.55</x:v>
      </x:c>
      <x:c r="E2" t="n">
        <x:v>14494</x:v>
      </x:c>
      <x:c r="F2" t="n">
        <x:v>734</x:v>
      </x:c>
      <x:c r="G2" t="n">
        <x:v>32</x:v>
      </x:c>
      <x:c r="H2" t="n">
        <x:v>10</x:v>
      </x:c>
      <x:c r="I2" t="n">
        <x:v>5</x:v>
      </x:c>
      <x:c r="J2" t="n">
        <x:v>12226.25</x:v>
      </x:c>
    </x:row>
    <x:row r="3">
      <x:c r="A3" t="str">
        <x:v>2026-01-23</x:v>
      </x:c>
      <x:c r="B3" t="str">
        <x:v>Organic</x:v>
      </x:c>
      <x:c r="C3" t="str">
        <x:v>New Product</x:v>
      </x:c>
      <x:c r="D3" t="n">
        <x:v>465.45</x:v>
      </x:c>
      <x:c r="E3" t="n">
        <x:v>16889</x:v>
      </x:c>
      <x:c r="F3" t="n">
        <x:v>619</x:v>
      </x:c>
      <x:c r="G3" t="n">
        <x:v>24</x:v>
      </x:c>
      <x:c r="H3" t="n">
        <x:v>7</x:v>
      </x:c>
      <x:c r="I3" t="n">
        <x:v>3</x:v>
      </x:c>
      <x:c r="J3" t="n">
        <x:v>14572.89</x:v>
      </x:c>
    </x:row>
    <x:row r="4">
      <x:c r="A4" t="str">
        <x:v>2026-05-30</x:v>
      </x:c>
      <x:c r="B4" t="str">
        <x:v>Paid Search</x:v>
      </x:c>
      <x:c r="C4" t="str">
        <x:v>Loyalty</x:v>
      </x:c>
      <x:c r="D4" t="n">
        <x:v>2425.06</x:v>
      </x:c>
      <x:c r="E4" t="n">
        <x:v>11499</x:v>
      </x:c>
      <x:c r="F4" t="n">
        <x:v>675</x:v>
      </x:c>
      <x:c r="G4" t="n">
        <x:v>24</x:v>
      </x:c>
      <x:c r="H4" t="n">
        <x:v>9</x:v>
      </x:c>
      <x:c r="I4" t="n">
        <x:v>2</x:v>
      </x:c>
      <x:c r="J4" t="n">
        <x:v>4073.36</x:v>
      </x:c>
    </x:row>
    <x:row r="5">
      <x:c r="A5" t="str">
        <x:v>2026-01-31</x:v>
      </x:c>
      <x:c r="B5" t="str">
        <x:v>Affiliate</x:v>
      </x:c>
      <x:c r="C5" t="str">
        <x:v>Retargeting</x:v>
      </x:c>
      <x:c r="D5" t="n">
        <x:v>2328.98</x:v>
      </x:c>
      <x:c r="E5" t="n">
        <x:v>94391</x:v>
      </x:c>
      <x:c r="F5" t="n">
        <x:v>1642</x:v>
      </x:c>
      <x:c r="G5" t="n">
        <x:v>192</x:v>
      </x:c>
      <x:c r="H5" t="n">
        <x:v>65</x:v>
      </x:c>
      <x:c r="I5" t="n">
        <x:v>21</x:v>
      </x:c>
      <x:c r="J5" t="n">
        <x:v>91915.28</x:v>
      </x:c>
    </x:row>
    <x:row r="6">
      <x:c r="A6" t="str">
        <x:v>2026-01-17</x:v>
      </x:c>
      <x:c r="B6" t="str">
        <x:v>Affiliate</x:v>
      </x:c>
      <x:c r="C6" t="str">
        <x:v>Brand</x:v>
      </x:c>
      <x:c r="D6" t="n">
        <x:v>2552.24</x:v>
      </x:c>
      <x:c r="E6" t="n">
        <x:v>70066</x:v>
      </x:c>
      <x:c r="F6" t="n">
        <x:v>3039</x:v>
      </x:c>
      <x:c r="G6" t="n">
        <x:v>286</x:v>
      </x:c>
      <x:c r="H6" t="n">
        <x:v>69</x:v>
      </x:c>
      <x:c r="I6" t="n">
        <x:v>27</x:v>
      </x:c>
      <x:c r="J6" t="n">
        <x:v>103368.67</x:v>
      </x:c>
    </x:row>
    <x:row r="7">
      <x:c r="A7" t="str">
        <x:v>2026-03-18</x:v>
      </x:c>
      <x:c r="B7" t="str">
        <x:v>Paid Social</x:v>
      </x:c>
      <x:c r="C7" t="str">
        <x:v>Summer Sale</x:v>
      </x:c>
      <x:c r="D7" t="n">
        <x:v>2856.18</x:v>
      </x:c>
      <x:c r="E7" t="n">
        <x:v>36994</x:v>
      </x:c>
      <x:c r="F7" t="n">
        <x:v>453</x:v>
      </x:c>
      <x:c r="G7" t="n">
        <x:v>33</x:v>
      </x:c>
      <x:c r="H7" t="n">
        <x:v>9</x:v>
      </x:c>
      <x:c r="I7" t="n">
        <x:v>2</x:v>
      </x:c>
      <x:c r="J7" t="n">
        <x:v>7606.48</x:v>
      </x:c>
    </x:row>
    <x:row r="8">
      <x:c r="A8" t="str">
        <x:v>2026-06-05</x:v>
      </x:c>
      <x:c r="B8" t="str">
        <x:v>Paid Search</x:v>
      </x:c>
      <x:c r="C8" t="str">
        <x:v>Brand</x:v>
      </x:c>
      <x:c r="D8" t="n">
        <x:v>2145.34</x:v>
      </x:c>
      <x:c r="E8" t="n">
        <x:v>26621</x:v>
      </x:c>
      <x:c r="F8" t="n">
        <x:v>1261</x:v>
      </x:c>
      <x:c r="G8" t="n">
        <x:v>66</x:v>
      </x:c>
      <x:c r="H8" t="n">
        <x:v>19</x:v>
      </x:c>
      <x:c r="I8" t="n">
        <x:v>4</x:v>
      </x:c>
      <x:c r="J8" t="n">
        <x:v>20302.61</x:v>
      </x:c>
    </x:row>
    <x:row r="9">
      <x:c r="A9" t="str">
        <x:v>2026-07-15</x:v>
      </x:c>
      <x:c r="B9" t="str">
        <x:v>Affiliate</x:v>
      </x:c>
      <x:c r="C9" t="str">
        <x:v>Loyalty</x:v>
      </x:c>
      <x:c r="D9" t="n">
        <x:v>3198.56</x:v>
      </x:c>
      <x:c r="E9" t="n">
        <x:v>112263</x:v>
      </x:c>
      <x:c r="F9" t="n">
        <x:v>2729</x:v>
      </x:c>
      <x:c r="G9" t="n">
        <x:v>366</x:v>
      </x:c>
      <x:c r="H9" t="n">
        <x:v>120</x:v>
      </x:c>
      <x:c r="I9" t="n">
        <x:v>48</x:v>
      </x:c>
      <x:c r="J9" t="n">
        <x:v>184607.56</x:v>
      </x:c>
    </x:row>
    <x:row r="10">
      <x:c r="A10" t="str">
        <x:v>2026-01-24</x:v>
      </x:c>
      <x:c r="B10" t="str">
        <x:v>Email</x:v>
      </x:c>
      <x:c r="C10" t="str">
        <x:v>New Product</x:v>
      </x:c>
      <x:c r="D10" t="n">
        <x:v>2848.76</x:v>
      </x:c>
      <x:c r="E10" t="n">
        <x:v>13519</x:v>
      </x:c>
      <x:c r="F10" t="n">
        <x:v>150</x:v>
      </x:c>
      <x:c r="G10" t="n">
        <x:v>20</x:v>
      </x:c>
      <x:c r="H10" t="n">
        <x:v>6</x:v>
      </x:c>
      <x:c r="I10" t="n">
        <x:v>3</x:v>
      </x:c>
      <x:c r="J10" t="n">
        <x:v>17901.49</x:v>
      </x:c>
    </x:row>
    <x:row r="11">
      <x:c r="A11" t="str">
        <x:v>2026-03-14</x:v>
      </x:c>
      <x:c r="B11" t="str">
        <x:v>Organic</x:v>
      </x:c>
      <x:c r="C11" t="str">
        <x:v>Retargeting</x:v>
      </x:c>
      <x:c r="D11" t="n">
        <x:v>285.74</x:v>
      </x:c>
      <x:c r="E11" t="n">
        <x:v>65515</x:v>
      </x:c>
      <x:c r="F11" t="n">
        <x:v>1735</x:v>
      </x:c>
      <x:c r="G11" t="n">
        <x:v>211</x:v>
      </x:c>
      <x:c r="H11" t="n">
        <x:v>62</x:v>
      </x:c>
      <x:c r="I11" t="n">
        <x:v>17</x:v>
      </x:c>
      <x:c r="J11" t="n">
        <x:v>48740.79</x:v>
      </x:c>
    </x:row>
    <x:row r="12">
      <x:c r="A12" t="str">
        <x:v>2026-07-09</x:v>
      </x:c>
      <x:c r="B12" t="str">
        <x:v>Paid Social</x:v>
      </x:c>
      <x:c r="C12" t="str">
        <x:v>New Product</x:v>
      </x:c>
      <x:c r="D12" t="n">
        <x:v>1685.61</x:v>
      </x:c>
      <x:c r="E12" t="n">
        <x:v>119219</x:v>
      </x:c>
      <x:c r="F12" t="n">
        <x:v>4031</x:v>
      </x:c>
      <x:c r="G12" t="n">
        <x:v>221</x:v>
      </x:c>
      <x:c r="H12" t="n">
        <x:v>59</x:v>
      </x:c>
      <x:c r="I12" t="n">
        <x:v>17</x:v>
      </x:c>
      <x:c r="J12" t="n">
        <x:v>33900.92</x:v>
      </x:c>
    </x:row>
    <x:row r="13">
      <x:c r="A13" t="str">
        <x:v>2026-04-21</x:v>
      </x:c>
      <x:c r="B13" t="str">
        <x:v>Affiliate</x:v>
      </x:c>
      <x:c r="C13" t="str">
        <x:v>Retargeting</x:v>
      </x:c>
      <x:c r="D13" t="n">
        <x:v>2884.31</x:v>
      </x:c>
      <x:c r="E13" t="n">
        <x:v>52024</x:v>
      </x:c>
      <x:c r="F13" t="n">
        <x:v>2263</x:v>
      </x:c>
      <x:c r="G13" t="n">
        <x:v>197</x:v>
      </x:c>
      <x:c r="H13" t="n">
        <x:v>43</x:v>
      </x:c>
      <x:c r="I13" t="n">
        <x:v>9</x:v>
      </x:c>
      <x:c r="J13" t="n">
        <x:v>18697.78</x:v>
      </x:c>
    </x:row>
    <x:row r="14">
      <x:c r="A14" t="str">
        <x:v>2026-06-18</x:v>
      </x:c>
      <x:c r="B14" t="str">
        <x:v>Paid Social</x:v>
      </x:c>
      <x:c r="C14" t="str">
        <x:v>Brand</x:v>
      </x:c>
      <x:c r="D14" t="n">
        <x:v>2042.86</x:v>
      </x:c>
      <x:c r="E14" t="n">
        <x:v>82217</x:v>
      </x:c>
      <x:c r="F14" t="n">
        <x:v>1437</x:v>
      </x:c>
      <x:c r="G14" t="n">
        <x:v>103</x:v>
      </x:c>
      <x:c r="H14" t="n">
        <x:v>19</x:v>
      </x:c>
      <x:c r="I14" t="n">
        <x:v>7</x:v>
      </x:c>
      <x:c r="J14" t="n">
        <x:v>33158.38</x:v>
      </x:c>
    </x:row>
    <x:row r="15">
      <x:c r="A15" t="str">
        <x:v>2026-03-23</x:v>
      </x:c>
      <x:c r="B15" t="str">
        <x:v>Paid Social</x:v>
      </x:c>
      <x:c r="C15" t="str">
        <x:v>Loyalty</x:v>
      </x:c>
      <x:c r="D15" t="n">
        <x:v>3810.85</x:v>
      </x:c>
      <x:c r="E15" t="n">
        <x:v>90847</x:v>
      </x:c>
      <x:c r="F15" t="n">
        <x:v>3921</x:v>
      </x:c>
      <x:c r="G15" t="n">
        <x:v>149</x:v>
      </x:c>
      <x:c r="H15" t="n">
        <x:v>62</x:v>
      </x:c>
      <x:c r="I15" t="n">
        <x:v>29</x:v>
      </x:c>
      <x:c r="J15" t="n">
        <x:v>181893.12</x:v>
      </x:c>
    </x:row>
    <x:row r="16">
      <x:c r="A16" t="str">
        <x:v>2026-07-24</x:v>
      </x:c>
      <x:c r="B16" t="str">
        <x:v>Affiliate</x:v>
      </x:c>
      <x:c r="C16" t="str">
        <x:v>New Product</x:v>
      </x:c>
      <x:c r="D16" t="n">
        <x:v>1712.66</x:v>
      </x:c>
      <x:c r="E16" t="n">
        <x:v>56658</x:v>
      </x:c>
      <x:c r="F16" t="n">
        <x:v>758</x:v>
      </x:c>
      <x:c r="G16" t="n">
        <x:v>94</x:v>
      </x:c>
      <x:c r="H16" t="n">
        <x:v>15</x:v>
      </x:c>
      <x:c r="I16" t="n">
        <x:v>3</x:v>
      </x:c>
      <x:c r="J16" t="n">
        <x:v>7232.48</x:v>
      </x:c>
    </x:row>
    <x:row r="17">
      <x:c r="A17" t="str">
        <x:v>2026-02-11</x:v>
      </x:c>
      <x:c r="B17" t="str">
        <x:v>Paid Search</x:v>
      </x:c>
      <x:c r="C17" t="str">
        <x:v>Retargeting</x:v>
      </x:c>
      <x:c r="D17" t="n">
        <x:v>2482.76</x:v>
      </x:c>
      <x:c r="E17" t="n">
        <x:v>18419</x:v>
      </x:c>
      <x:c r="F17" t="n">
        <x:v>147</x:v>
      </x:c>
      <x:c r="G17" t="n">
        <x:v>7</x:v>
      </x:c>
      <x:c r="H17" t="n">
        <x:v>1</x:v>
      </x:c>
      <x:c r="I17" t="n">
        <x:v>0</x:v>
      </x:c>
      <x:c r="J17" t="n">
        <x:v>0</x:v>
      </x:c>
    </x:row>
    <x:row r="18">
      <x:c r="A18" t="str">
        <x:v>2026-02-23</x:v>
      </x:c>
      <x:c r="B18" t="str">
        <x:v>Affiliate</x:v>
      </x:c>
      <x:c r="C18" t="str">
        <x:v>New Product</x:v>
      </x:c>
      <x:c r="D18" t="n">
        <x:v>764.49</x:v>
      </x:c>
      <x:c r="E18" t="n">
        <x:v>38063</x:v>
      </x:c>
      <x:c r="F18" t="n">
        <x:v>2195</x:v>
      </x:c>
      <x:c r="G18" t="n">
        <x:v>264</x:v>
      </x:c>
      <x:c r="H18" t="n">
        <x:v>77</x:v>
      </x:c>
      <x:c r="I18" t="n">
        <x:v>18</x:v>
      </x:c>
      <x:c r="J18" t="n">
        <x:v>72554.31</x:v>
      </x:c>
    </x:row>
    <x:row r="19">
      <x:c r="A19" t="str">
        <x:v>2026-04-30</x:v>
      </x:c>
      <x:c r="B19" t="str">
        <x:v>Organic</x:v>
      </x:c>
      <x:c r="C19" t="str">
        <x:v>New Product</x:v>
      </x:c>
      <x:c r="D19" t="n">
        <x:v>1385.04</x:v>
      </x:c>
      <x:c r="E19" t="n">
        <x:v>23889</x:v>
      </x:c>
      <x:c r="F19" t="n">
        <x:v>318</x:v>
      </x:c>
      <x:c r="G19" t="n">
        <x:v>25</x:v>
      </x:c>
      <x:c r="H19" t="n">
        <x:v>5</x:v>
      </x:c>
      <x:c r="I19" t="n">
        <x:v>2</x:v>
      </x:c>
      <x:c r="J19" t="n">
        <x:v>4272.69</x:v>
      </x:c>
    </x:row>
    <x:row r="20">
      <x:c r="A20" t="str">
        <x:v>2026-01-06</x:v>
      </x:c>
      <x:c r="B20" t="str">
        <x:v>Paid Social</x:v>
      </x:c>
      <x:c r="C20" t="str">
        <x:v>Loyalty</x:v>
      </x:c>
      <x:c r="D20" t="n">
        <x:v>1574.66</x:v>
      </x:c>
      <x:c r="E20" t="n">
        <x:v>95448</x:v>
      </x:c>
      <x:c r="F20" t="n">
        <x:v>3459</x:v>
      </x:c>
      <x:c r="G20" t="n">
        <x:v>117</x:v>
      </x:c>
      <x:c r="H20" t="n">
        <x:v>36</x:v>
      </x:c>
      <x:c r="I20" t="n">
        <x:v>19</x:v>
      </x:c>
      <x:c r="J20" t="n">
        <x:v>117938.42</x:v>
      </x:c>
    </x:row>
    <x:row r="21">
      <x:c r="A21" t="str">
        <x:v>2026-06-28</x:v>
      </x:c>
      <x:c r="B21" t="str">
        <x:v>Email</x:v>
      </x:c>
      <x:c r="C21" t="str">
        <x:v>Loyalty</x:v>
      </x:c>
      <x:c r="D21" t="n">
        <x:v>1593.46</x:v>
      </x:c>
      <x:c r="E21" t="n">
        <x:v>26894</x:v>
      </x:c>
      <x:c r="F21" t="n">
        <x:v>712</x:v>
      </x:c>
      <x:c r="G21" t="n">
        <x:v>45</x:v>
      </x:c>
      <x:c r="H21" t="n">
        <x:v>14</x:v>
      </x:c>
      <x:c r="I21" t="n">
        <x:v>5</x:v>
      </x:c>
      <x:c r="J21" t="n">
        <x:v>24456.82</x:v>
      </x:c>
    </x:row>
    <x:row r="22">
      <x:c r="A22" t="str">
        <x:v>2026-06-06</x:v>
      </x:c>
      <x:c r="B22" t="str">
        <x:v>Paid Social</x:v>
      </x:c>
      <x:c r="C22" t="str">
        <x:v>Summer Sale</x:v>
      </x:c>
      <x:c r="D22" t="n">
        <x:v>3309.67</x:v>
      </x:c>
      <x:c r="E22" t="n">
        <x:v>101976</x:v>
      </x:c>
      <x:c r="F22" t="n">
        <x:v>5075</x:v>
      </x:c>
      <x:c r="G22" t="n">
        <x:v>304</x:v>
      </x:c>
      <x:c r="H22" t="n">
        <x:v>90</x:v>
      </x:c>
      <x:c r="I22" t="n">
        <x:v>41</x:v>
      </x:c>
      <x:c r="J22" t="n">
        <x:v>284527.73</x:v>
      </x:c>
    </x:row>
    <x:row r="23">
      <x:c r="A23" t="str">
        <x:v>2026-07-22</x:v>
      </x:c>
      <x:c r="B23" t="str">
        <x:v>Email</x:v>
      </x:c>
      <x:c r="C23" t="str">
        <x:v>New Product</x:v>
      </x:c>
      <x:c r="D23" t="n">
        <x:v>1184.86</x:v>
      </x:c>
      <x:c r="E23" t="n">
        <x:v>95770</x:v>
      </x:c>
      <x:c r="F23" t="n">
        <x:v>3779</x:v>
      </x:c>
      <x:c r="G23" t="n">
        <x:v>308</x:v>
      </x:c>
      <x:c r="H23" t="n">
        <x:v>120</x:v>
      </x:c>
      <x:c r="I23" t="n">
        <x:v>54</x:v>
      </x:c>
      <x:c r="J23" t="n">
        <x:v>174269.56</x:v>
      </x:c>
    </x:row>
    <x:row r="24">
      <x:c r="A24" t="str">
        <x:v>2026-04-04</x:v>
      </x:c>
      <x:c r="B24" t="str">
        <x:v>Paid Search</x:v>
      </x:c>
      <x:c r="C24" t="str">
        <x:v>Summer Sale</x:v>
      </x:c>
      <x:c r="D24" t="n">
        <x:v>588.2</x:v>
      </x:c>
      <x:c r="E24" t="n">
        <x:v>66614</x:v>
      </x:c>
      <x:c r="F24" t="n">
        <x:v>1214</x:v>
      </x:c>
      <x:c r="G24" t="n">
        <x:v>73</x:v>
      </x:c>
      <x:c r="H24" t="n">
        <x:v>24</x:v>
      </x:c>
      <x:c r="I24" t="n">
        <x:v>12</x:v>
      </x:c>
      <x:c r="J24" t="n">
        <x:v>72894.31</x:v>
      </x:c>
    </x:row>
    <x:row r="25">
      <x:c r="A25" t="str">
        <x:v>2026-05-03</x:v>
      </x:c>
      <x:c r="B25" t="str">
        <x:v>Email</x:v>
      </x:c>
      <x:c r="C25" t="str">
        <x:v>Brand</x:v>
      </x:c>
      <x:c r="D25" t="n">
        <x:v>3371.67</x:v>
      </x:c>
      <x:c r="E25" t="n">
        <x:v>20716</x:v>
      </x:c>
      <x:c r="F25" t="n">
        <x:v>1145</x:v>
      </x:c>
      <x:c r="G25" t="n">
        <x:v>168</x:v>
      </x:c>
      <x:c r="H25" t="n">
        <x:v>63</x:v>
      </x:c>
      <x:c r="I25" t="n">
        <x:v>23</x:v>
      </x:c>
      <x:c r="J25" t="n">
        <x:v>51414.8</x:v>
      </x:c>
    </x:row>
    <x:row r="26">
      <x:c r="A26" t="str">
        <x:v>2026-07-22</x:v>
      </x:c>
      <x:c r="B26" t="str">
        <x:v>Email</x:v>
      </x:c>
      <x:c r="C26" t="str">
        <x:v>Brand</x:v>
      </x:c>
      <x:c r="D26" t="n">
        <x:v>3243.13</x:v>
      </x:c>
      <x:c r="E26" t="n">
        <x:v>99611</x:v>
      </x:c>
      <x:c r="F26" t="n">
        <x:v>2847</x:v>
      </x:c>
      <x:c r="G26" t="n">
        <x:v>256</x:v>
      </x:c>
      <x:c r="H26" t="n">
        <x:v>111</x:v>
      </x:c>
      <x:c r="I26" t="n">
        <x:v>50</x:v>
      </x:c>
      <x:c r="J26" t="n">
        <x:v>109301.06</x:v>
      </x:c>
    </x:row>
    <x:row r="27">
      <x:c r="A27" t="str">
        <x:v>2026-02-02</x:v>
      </x:c>
      <x:c r="B27" t="str">
        <x:v>Paid Search</x:v>
      </x:c>
      <x:c r="C27" t="str">
        <x:v>Summer Sale</x:v>
      </x:c>
      <x:c r="D27" t="n">
        <x:v>2445.09</x:v>
      </x:c>
      <x:c r="E27" t="n">
        <x:v>65994</x:v>
      </x:c>
      <x:c r="F27" t="n">
        <x:v>3295</x:v>
      </x:c>
      <x:c r="G27" t="n">
        <x:v>171</x:v>
      </x:c>
      <x:c r="H27" t="n">
        <x:v>68</x:v>
      </x:c>
      <x:c r="I27" t="n">
        <x:v>36</x:v>
      </x:c>
      <x:c r="J27" t="n">
        <x:v>180437.62</x:v>
      </x:c>
    </x:row>
    <x:row r="28">
      <x:c r="A28" t="str">
        <x:v>2026-03-31</x:v>
      </x:c>
      <x:c r="B28" t="str">
        <x:v>Paid Social</x:v>
      </x:c>
      <x:c r="C28" t="str">
        <x:v>Loyalty</x:v>
      </x:c>
      <x:c r="D28" t="n">
        <x:v>2283.49</x:v>
      </x:c>
      <x:c r="E28" t="n">
        <x:v>7804</x:v>
      </x:c>
      <x:c r="F28" t="n">
        <x:v>68</x:v>
      </x:c>
      <x:c r="G28" t="n">
        <x:v>11</x:v>
      </x:c>
      <x:c r="H28" t="n">
        <x:v>3</x:v>
      </x:c>
      <x:c r="I28" t="n">
        <x:v>1</x:v>
      </x:c>
      <x:c r="J28" t="n">
        <x:v>6615.02</x:v>
      </x:c>
    </x:row>
    <x:row r="29">
      <x:c r="A29" t="str">
        <x:v>2026-04-22</x:v>
      </x:c>
      <x:c r="B29" t="str">
        <x:v>Paid Social</x:v>
      </x:c>
      <x:c r="C29" t="str">
        <x:v>Summer Sale</x:v>
      </x:c>
      <x:c r="D29" t="n">
        <x:v>306.38</x:v>
      </x:c>
      <x:c r="E29" t="n">
        <x:v>32889</x:v>
      </x:c>
      <x:c r="F29" t="n">
        <x:v>764</x:v>
      </x:c>
      <x:c r="G29" t="n">
        <x:v>50</x:v>
      </x:c>
      <x:c r="H29" t="n">
        <x:v>16</x:v>
      </x:c>
      <x:c r="I29" t="n">
        <x:v>4</x:v>
      </x:c>
      <x:c r="J29" t="n">
        <x:v>14521.09</x:v>
      </x:c>
    </x:row>
    <x:row r="30">
      <x:c r="A30" t="str">
        <x:v>2026-02-03</x:v>
      </x:c>
      <x:c r="B30" t="str">
        <x:v>Paid Search</x:v>
      </x:c>
      <x:c r="C30" t="str">
        <x:v>Retargeting</x:v>
      </x:c>
      <x:c r="D30" t="n">
        <x:v>3611.28</x:v>
      </x:c>
      <x:c r="E30" t="n">
        <x:v>91831</x:v>
      </x:c>
      <x:c r="F30" t="n">
        <x:v>3520</x:v>
      </x:c>
      <x:c r="G30" t="n">
        <x:v>583</x:v>
      </x:c>
      <x:c r="H30" t="n">
        <x:v>161</x:v>
      </x:c>
      <x:c r="I30" t="n">
        <x:v>83</x:v>
      </x:c>
      <x:c r="J30" t="n">
        <x:v>341093.8</x:v>
      </x:c>
    </x:row>
    <x:row r="31">
      <x:c r="A31" t="str">
        <x:v>2026-05-17</x:v>
      </x:c>
      <x:c r="B31" t="str">
        <x:v>Paid Social</x:v>
      </x:c>
      <x:c r="C31" t="str">
        <x:v>Loyalty</x:v>
      </x:c>
      <x:c r="D31" t="n">
        <x:v>2140.08</x:v>
      </x:c>
      <x:c r="E31" t="n">
        <x:v>119400</x:v>
      </x:c>
      <x:c r="F31" t="n">
        <x:v>3687</x:v>
      </x:c>
      <x:c r="G31" t="n">
        <x:v>211</x:v>
      </x:c>
      <x:c r="H31" t="n">
        <x:v>31</x:v>
      </x:c>
      <x:c r="I31" t="n">
        <x:v>14</x:v>
      </x:c>
      <x:c r="J31" t="n">
        <x:v>30794.55</x:v>
      </x:c>
    </x:row>
    <x:row r="32">
      <x:c r="A32" t="str">
        <x:v>2026-05-02</x:v>
      </x:c>
      <x:c r="B32" t="str">
        <x:v>Affiliate</x:v>
      </x:c>
      <x:c r="C32" t="str">
        <x:v>Brand</x:v>
      </x:c>
      <x:c r="D32" t="n">
        <x:v>2314.61</x:v>
      </x:c>
      <x:c r="E32" t="n">
        <x:v>47727</x:v>
      </x:c>
      <x:c r="F32" t="n">
        <x:v>2075</x:v>
      </x:c>
      <x:c r="G32" t="n">
        <x:v>227</x:v>
      </x:c>
      <x:c r="H32" t="n">
        <x:v>66</x:v>
      </x:c>
      <x:c r="I32" t="n">
        <x:v>31</x:v>
      </x:c>
      <x:c r="J32" t="n">
        <x:v>196004.36</x:v>
      </x:c>
    </x:row>
    <x:row r="33">
      <x:c r="A33" t="str">
        <x:v>2026-01-15</x:v>
      </x:c>
      <x:c r="B33" t="str">
        <x:v>Paid Social</x:v>
      </x:c>
      <x:c r="C33" t="str">
        <x:v>Summer Sale</x:v>
      </x:c>
      <x:c r="D33" t="n">
        <x:v>1252.28</x:v>
      </x:c>
      <x:c r="E33" t="n">
        <x:v>106221</x:v>
      </x:c>
      <x:c r="F33" t="n">
        <x:v>1389</x:v>
      </x:c>
      <x:c r="G33" t="n">
        <x:v>135</x:v>
      </x:c>
      <x:c r="H33" t="n">
        <x:v>21</x:v>
      </x:c>
      <x:c r="I33" t="n">
        <x:v>10</x:v>
      </x:c>
      <x:c r="J33" t="n">
        <x:v>15675.39</x:v>
      </x:c>
    </x:row>
    <x:row r="34">
      <x:c r="A34" t="str">
        <x:v>2026-03-25</x:v>
      </x:c>
      <x:c r="B34" t="str">
        <x:v>Affiliate</x:v>
      </x:c>
      <x:c r="C34" t="str">
        <x:v>Loyalty</x:v>
      </x:c>
      <x:c r="D34" t="n">
        <x:v>2503.32</x:v>
      </x:c>
      <x:c r="E34" t="n">
        <x:v>31136</x:v>
      </x:c>
      <x:c r="F34" t="n">
        <x:v>1370</x:v>
      </x:c>
      <x:c r="G34" t="n">
        <x:v>134</x:v>
      </x:c>
      <x:c r="H34" t="n">
        <x:v>41</x:v>
      </x:c>
      <x:c r="I34" t="n">
        <x:v>15</x:v>
      </x:c>
      <x:c r="J34" t="n">
        <x:v>99910.6</x:v>
      </x:c>
    </x:row>
    <x:row r="35">
      <x:c r="A35" t="str">
        <x:v>2026-06-28</x:v>
      </x:c>
      <x:c r="B35" t="str">
        <x:v>Affiliate</x:v>
      </x:c>
      <x:c r="C35" t="str">
        <x:v>Retargeting</x:v>
      </x:c>
      <x:c r="D35" t="n">
        <x:v>3706.58</x:v>
      </x:c>
      <x:c r="E35" t="n">
        <x:v>31553</x:v>
      </x:c>
      <x:c r="F35" t="n">
        <x:v>1630</x:v>
      </x:c>
      <x:c r="G35" t="n">
        <x:v>82</x:v>
      </x:c>
      <x:c r="H35" t="n">
        <x:v>15</x:v>
      </x:c>
      <x:c r="I35" t="n">
        <x:v>5</x:v>
      </x:c>
      <x:c r="J35" t="n">
        <x:v>8103.84</x:v>
      </x:c>
    </x:row>
    <x:row r="36">
      <x:c r="A36" t="str">
        <x:v>2026-03-03</x:v>
      </x:c>
      <x:c r="B36" t="str">
        <x:v>Organic</x:v>
      </x:c>
      <x:c r="C36" t="str">
        <x:v>Brand</x:v>
      </x:c>
      <x:c r="D36" t="n">
        <x:v>1008.22</x:v>
      </x:c>
      <x:c r="E36" t="n">
        <x:v>44685</x:v>
      </x:c>
      <x:c r="F36" t="n">
        <x:v>2179</x:v>
      </x:c>
      <x:c r="G36" t="n">
        <x:v>358</x:v>
      </x:c>
      <x:c r="H36" t="n">
        <x:v>70</x:v>
      </x:c>
      <x:c r="I36" t="n">
        <x:v>31</x:v>
      </x:c>
      <x:c r="J36" t="n">
        <x:v>155914.12</x:v>
      </x:c>
    </x:row>
    <x:row r="37">
      <x:c r="A37" t="str">
        <x:v>2026-02-06</x:v>
      </x:c>
      <x:c r="B37" t="str">
        <x:v>Email</x:v>
      </x:c>
      <x:c r="C37" t="str">
        <x:v>Summer Sale</x:v>
      </x:c>
      <x:c r="D37" t="n">
        <x:v>3876.67</x:v>
      </x:c>
      <x:c r="E37" t="n">
        <x:v>33781</x:v>
      </x:c>
      <x:c r="F37" t="n">
        <x:v>1581</x:v>
      </x:c>
      <x:c r="G37" t="n">
        <x:v>69</x:v>
      </x:c>
      <x:c r="H37" t="n">
        <x:v>28</x:v>
      </x:c>
      <x:c r="I37" t="n">
        <x:v>7</x:v>
      </x:c>
      <x:c r="J37" t="n">
        <x:v>35514.02</x:v>
      </x:c>
    </x:row>
    <x:row r="38">
      <x:c r="A38" t="str">
        <x:v>2026-02-27</x:v>
      </x:c>
      <x:c r="B38" t="str">
        <x:v>Paid Social</x:v>
      </x:c>
      <x:c r="C38" t="str">
        <x:v>New Product</x:v>
      </x:c>
      <x:c r="D38" t="n">
        <x:v>3977.48</x:v>
      </x:c>
      <x:c r="E38" t="n">
        <x:v>57928</x:v>
      </x:c>
      <x:c r="F38" t="n">
        <x:v>1484</x:v>
      </x:c>
      <x:c r="G38" t="n">
        <x:v>88</x:v>
      </x:c>
      <x:c r="H38" t="n">
        <x:v>21</x:v>
      </x:c>
      <x:c r="I38" t="n">
        <x:v>9</x:v>
      </x:c>
      <x:c r="J38" t="n">
        <x:v>11817.01</x:v>
      </x:c>
    </x:row>
    <x:row r="39">
      <x:c r="A39" t="str">
        <x:v>2026-05-22</x:v>
      </x:c>
      <x:c r="B39" t="str">
        <x:v>Organic</x:v>
      </x:c>
      <x:c r="C39" t="str">
        <x:v>New Product</x:v>
      </x:c>
      <x:c r="D39" t="n">
        <x:v>2871.98</x:v>
      </x:c>
      <x:c r="E39" t="n">
        <x:v>55376</x:v>
      </x:c>
      <x:c r="F39" t="n">
        <x:v>1397</x:v>
      </x:c>
      <x:c r="G39" t="n">
        <x:v>172</x:v>
      </x:c>
      <x:c r="H39" t="n">
        <x:v>52</x:v>
      </x:c>
      <x:c r="I39" t="n">
        <x:v>11</x:v>
      </x:c>
      <x:c r="J39" t="n">
        <x:v>76048.31</x:v>
      </x:c>
    </x:row>
    <x:row r="40">
      <x:c r="A40" t="str">
        <x:v>2026-07-21</x:v>
      </x:c>
      <x:c r="B40" t="str">
        <x:v>Paid Social</x:v>
      </x:c>
      <x:c r="C40" t="str">
        <x:v>Brand</x:v>
      </x:c>
      <x:c r="D40" t="n">
        <x:v>519.43</x:v>
      </x:c>
      <x:c r="E40" t="n">
        <x:v>40641</x:v>
      </x:c>
      <x:c r="F40" t="n">
        <x:v>408</x:v>
      </x:c>
      <x:c r="G40" t="n">
        <x:v>59</x:v>
      </x:c>
      <x:c r="H40" t="n">
        <x:v>13</x:v>
      </x:c>
      <x:c r="I40" t="n">
        <x:v>3</x:v>
      </x:c>
      <x:c r="J40" t="n">
        <x:v>10947.22</x:v>
      </x:c>
    </x:row>
    <x:row r="41">
      <x:c r="A41" t="str">
        <x:v>2026-06-23</x:v>
      </x:c>
      <x:c r="B41" t="str">
        <x:v>Email</x:v>
      </x:c>
      <x:c r="C41" t="str">
        <x:v>New Product</x:v>
      </x:c>
      <x:c r="D41" t="n">
        <x:v>767.6</x:v>
      </x:c>
      <x:c r="E41" t="n">
        <x:v>72473</x:v>
      </x:c>
      <x:c r="F41" t="n">
        <x:v>2730</x:v>
      </x:c>
      <x:c r="G41" t="n">
        <x:v>368</x:v>
      </x:c>
      <x:c r="H41" t="n">
        <x:v>65</x:v>
      </x:c>
      <x:c r="I41" t="n">
        <x:v>14</x:v>
      </x:c>
      <x:c r="J41" t="n">
        <x:v>72682.29</x:v>
      </x:c>
    </x:row>
    <x:row r="42">
      <x:c r="A42" t="str">
        <x:v>2026-04-19</x:v>
      </x:c>
      <x:c r="B42" t="str">
        <x:v>Paid Search</x:v>
      </x:c>
      <x:c r="C42" t="str">
        <x:v>Retargeting</x:v>
      </x:c>
      <x:c r="D42" t="n">
        <x:v>3765.73</x:v>
      </x:c>
      <x:c r="E42" t="n">
        <x:v>88157</x:v>
      </x:c>
      <x:c r="F42" t="n">
        <x:v>1111</x:v>
      </x:c>
      <x:c r="G42" t="n">
        <x:v>76</x:v>
      </x:c>
      <x:c r="H42" t="n">
        <x:v>25</x:v>
      </x:c>
      <x:c r="I42" t="n">
        <x:v>6</x:v>
      </x:c>
      <x:c r="J42" t="n">
        <x:v>16402.89</x:v>
      </x:c>
    </x:row>
    <x:row r="43">
      <x:c r="A43" t="str">
        <x:v>2026-02-01</x:v>
      </x:c>
      <x:c r="B43" t="str">
        <x:v>Organic</x:v>
      </x:c>
      <x:c r="C43" t="str">
        <x:v>Brand</x:v>
      </x:c>
      <x:c r="D43" t="n">
        <x:v>1488.78</x:v>
      </x:c>
      <x:c r="E43" t="n">
        <x:v>77491</x:v>
      </x:c>
      <x:c r="F43" t="n">
        <x:v>2303</x:v>
      </x:c>
      <x:c r="G43" t="n">
        <x:v>385</x:v>
      </x:c>
      <x:c r="H43" t="n">
        <x:v>129</x:v>
      </x:c>
      <x:c r="I43" t="n">
        <x:v>27</x:v>
      </x:c>
      <x:c r="J43" t="n">
        <x:v>143513.45</x:v>
      </x:c>
    </x:row>
    <x:row r="44">
      <x:c r="A44" t="str">
        <x:v>2026-01-29</x:v>
      </x:c>
      <x:c r="B44" t="str">
        <x:v>Paid Social</x:v>
      </x:c>
      <x:c r="C44" t="str">
        <x:v>Retargeting</x:v>
      </x:c>
      <x:c r="D44" t="n">
        <x:v>391.44</x:v>
      </x:c>
      <x:c r="E44" t="n">
        <x:v>31446</x:v>
      </x:c>
      <x:c r="F44" t="n">
        <x:v>1775</x:v>
      </x:c>
      <x:c r="G44" t="n">
        <x:v>220</x:v>
      </x:c>
      <x:c r="H44" t="n">
        <x:v>68</x:v>
      </x:c>
      <x:c r="I44" t="n">
        <x:v>18</x:v>
      </x:c>
      <x:c r="J44" t="n">
        <x:v>68129.71</x:v>
      </x:c>
    </x:row>
    <x:row r="45">
      <x:c r="A45" t="str">
        <x:v>2026-06-22</x:v>
      </x:c>
      <x:c r="B45" t="str">
        <x:v>Paid Social</x:v>
      </x:c>
      <x:c r="C45" t="str">
        <x:v>Retargeting</x:v>
      </x:c>
      <x:c r="D45" t="n">
        <x:v>1518.6</x:v>
      </x:c>
      <x:c r="E45" t="n">
        <x:v>7380</x:v>
      </x:c>
      <x:c r="F45" t="n">
        <x:v>440</x:v>
      </x:c>
      <x:c r="G45" t="n">
        <x:v>15</x:v>
      </x:c>
      <x:c r="H45" t="n">
        <x:v>2</x:v>
      </x:c>
      <x:c r="I45" t="n">
        <x:v>0</x:v>
      </x:c>
      <x:c r="J45" t="n">
        <x:v>0</x:v>
      </x:c>
    </x:row>
    <x:row r="46">
      <x:c r="A46" t="str">
        <x:v>2026-05-12</x:v>
      </x:c>
      <x:c r="B46" t="str">
        <x:v>Organic</x:v>
      </x:c>
      <x:c r="C46" t="str">
        <x:v>Summer Sale</x:v>
      </x:c>
      <x:c r="D46" t="n">
        <x:v>3751.64</x:v>
      </x:c>
      <x:c r="E46" t="n">
        <x:v>18930</x:v>
      </x:c>
      <x:c r="F46" t="n">
        <x:v>799</x:v>
      </x:c>
      <x:c r="G46" t="n">
        <x:v>101</x:v>
      </x:c>
      <x:c r="H46" t="n">
        <x:v>35</x:v>
      </x:c>
      <x:c r="I46" t="n">
        <x:v>13</x:v>
      </x:c>
      <x:c r="J46" t="n">
        <x:v>82609.94</x:v>
      </x:c>
    </x:row>
    <x:row r="47">
      <x:c r="A47" t="str">
        <x:v>2026-05-10</x:v>
      </x:c>
      <x:c r="B47" t="str">
        <x:v>Email</x:v>
      </x:c>
      <x:c r="C47" t="str">
        <x:v>Summer Sale</x:v>
      </x:c>
      <x:c r="D47" t="n">
        <x:v>3933.27</x:v>
      </x:c>
      <x:c r="E47" t="n">
        <x:v>49918</x:v>
      </x:c>
      <x:c r="F47" t="n">
        <x:v>914</x:v>
      </x:c>
      <x:c r="G47" t="n">
        <x:v>148</x:v>
      </x:c>
      <x:c r="H47" t="n">
        <x:v>54</x:v>
      </x:c>
      <x:c r="I47" t="n">
        <x:v>13</x:v>
      </x:c>
      <x:c r="J47" t="n">
        <x:v>90203.63</x:v>
      </x:c>
    </x:row>
    <x:row r="48">
      <x:c r="A48" t="str">
        <x:v>2026-01-14</x:v>
      </x:c>
      <x:c r="B48" t="str">
        <x:v>Paid Social</x:v>
      </x:c>
      <x:c r="C48" t="str">
        <x:v>Brand</x:v>
      </x:c>
      <x:c r="D48" t="n">
        <x:v>468.75</x:v>
      </x:c>
      <x:c r="E48" t="n">
        <x:v>102109</x:v>
      </x:c>
      <x:c r="F48" t="n">
        <x:v>5488</x:v>
      </x:c>
      <x:c r="G48" t="n">
        <x:v>519</x:v>
      </x:c>
      <x:c r="H48" t="n">
        <x:v>86</x:v>
      </x:c>
      <x:c r="I48" t="n">
        <x:v>37</x:v>
      </x:c>
      <x:c r="J48" t="n">
        <x:v>126137.23</x:v>
      </x:c>
    </x:row>
    <x:row r="49">
      <x:c r="A49" t="str">
        <x:v>2026-05-10</x:v>
      </x:c>
      <x:c r="B49" t="str">
        <x:v>Email</x:v>
      </x:c>
      <x:c r="C49" t="str">
        <x:v>Loyalty</x:v>
      </x:c>
      <x:c r="D49" t="n">
        <x:v>1120.41</x:v>
      </x:c>
      <x:c r="E49" t="n">
        <x:v>43411</x:v>
      </x:c>
      <x:c r="F49" t="n">
        <x:v>449</x:v>
      </x:c>
      <x:c r="G49" t="n">
        <x:v>25</x:v>
      </x:c>
      <x:c r="H49" t="n">
        <x:v>5</x:v>
      </x:c>
      <x:c r="I49" t="n">
        <x:v>1</x:v>
      </x:c>
      <x:c r="J49" t="n">
        <x:v>3312.02</x:v>
      </x:c>
    </x:row>
    <x:row r="50">
      <x:c r="A50" t="str">
        <x:v>2026-03-26</x:v>
      </x:c>
      <x:c r="B50" t="str">
        <x:v>Affiliate</x:v>
      </x:c>
      <x:c r="C50" t="str">
        <x:v>Retargeting</x:v>
      </x:c>
      <x:c r="D50" t="n">
        <x:v>1128.9</x:v>
      </x:c>
      <x:c r="E50" t="n">
        <x:v>45573</x:v>
      </x:c>
      <x:c r="F50" t="n">
        <x:v>880</x:v>
      </x:c>
      <x:c r="G50" t="n">
        <x:v>50</x:v>
      </x:c>
      <x:c r="H50" t="n">
        <x:v>12</x:v>
      </x:c>
      <x:c r="I50" t="n">
        <x:v>2</x:v>
      </x:c>
      <x:c r="J50" t="n">
        <x:v>5635.57</x:v>
      </x:c>
    </x:row>
    <x:row r="51">
      <x:c r="A51" t="str">
        <x:v>2026-06-17</x:v>
      </x:c>
      <x:c r="B51" t="str">
        <x:v>Paid Social</x:v>
      </x:c>
      <x:c r="C51" t="str">
        <x:v>Summer Sale</x:v>
      </x:c>
      <x:c r="D51" t="n">
        <x:v>2118</x:v>
      </x:c>
      <x:c r="E51" t="n">
        <x:v>5648</x:v>
      </x:c>
      <x:c r="F51" t="n">
        <x:v>71</x:v>
      </x:c>
      <x:c r="G51" t="n">
        <x:v>10</x:v>
      </x:c>
      <x:c r="H51" t="n">
        <x:v>1</x:v>
      </x:c>
      <x:c r="I51" t="n">
        <x:v>0</x:v>
      </x:c>
      <x:c r="J51" t="n">
        <x:v>0</x:v>
      </x:c>
    </x:row>
    <x:row r="52">
      <x:c r="A52" t="str">
        <x:v>2026-03-18</x:v>
      </x:c>
      <x:c r="B52" t="str">
        <x:v>Email</x:v>
      </x:c>
      <x:c r="C52" t="str">
        <x:v>Summer Sale</x:v>
      </x:c>
      <x:c r="D52" t="n">
        <x:v>521.03</x:v>
      </x:c>
      <x:c r="E52" t="n">
        <x:v>74361</x:v>
      </x:c>
      <x:c r="F52" t="n">
        <x:v>3894</x:v>
      </x:c>
      <x:c r="G52" t="n">
        <x:v>207</x:v>
      </x:c>
      <x:c r="H52" t="n">
        <x:v>86</x:v>
      </x:c>
      <x:c r="I52" t="n">
        <x:v>40</x:v>
      </x:c>
      <x:c r="J52" t="n">
        <x:v>186401.76</x:v>
      </x:c>
    </x:row>
    <x:row r="53">
      <x:c r="A53" t="str">
        <x:v>2026-07-15</x:v>
      </x:c>
      <x:c r="B53" t="str">
        <x:v>Email</x:v>
      </x:c>
      <x:c r="C53" t="str">
        <x:v>New Product</x:v>
      </x:c>
      <x:c r="D53" t="n">
        <x:v>767.96</x:v>
      </x:c>
      <x:c r="E53" t="n">
        <x:v>99916</x:v>
      </x:c>
      <x:c r="F53" t="n">
        <x:v>4013</x:v>
      </x:c>
      <x:c r="G53" t="n">
        <x:v>207</x:v>
      </x:c>
      <x:c r="H53" t="n">
        <x:v>82</x:v>
      </x:c>
      <x:c r="I53" t="n">
        <x:v>36</x:v>
      </x:c>
      <x:c r="J53" t="n">
        <x:v>150310.48</x:v>
      </x:c>
    </x:row>
    <x:row r="54">
      <x:c r="A54" t="str">
        <x:v>2026-04-20</x:v>
      </x:c>
      <x:c r="B54" t="str">
        <x:v>Affiliate</x:v>
      </x:c>
      <x:c r="C54" t="str">
        <x:v>Summer Sale</x:v>
      </x:c>
      <x:c r="D54" t="n">
        <x:v>3657.57</x:v>
      </x:c>
      <x:c r="E54" t="n">
        <x:v>103679</x:v>
      </x:c>
      <x:c r="F54" t="n">
        <x:v>3548</x:v>
      </x:c>
      <x:c r="G54" t="n">
        <x:v>550</x:v>
      </x:c>
      <x:c r="H54" t="n">
        <x:v>215</x:v>
      </x:c>
      <x:c r="I54" t="n">
        <x:v>105</x:v>
      </x:c>
      <x:c r="J54" t="n">
        <x:v>481693.46</x:v>
      </x:c>
    </x:row>
    <x:row r="55">
      <x:c r="A55" t="str">
        <x:v>2026-07-02</x:v>
      </x:c>
      <x:c r="B55" t="str">
        <x:v>Paid Social</x:v>
      </x:c>
      <x:c r="C55" t="str">
        <x:v>Brand</x:v>
      </x:c>
      <x:c r="D55" t="n">
        <x:v>318.41</x:v>
      </x:c>
      <x:c r="E55" t="n">
        <x:v>22444</x:v>
      </x:c>
      <x:c r="F55" t="n">
        <x:v>923</x:v>
      </x:c>
      <x:c r="G55" t="n">
        <x:v>160</x:v>
      </x:c>
      <x:c r="H55" t="n">
        <x:v>42</x:v>
      </x:c>
      <x:c r="I55" t="n">
        <x:v>15</x:v>
      </x:c>
      <x:c r="J55" t="n">
        <x:v>22417.89</x:v>
      </x:c>
    </x:row>
    <x:row r="56">
      <x:c r="A56" t="str">
        <x:v>2026-01-05</x:v>
      </x:c>
      <x:c r="B56" t="str">
        <x:v>Affiliate</x:v>
      </x:c>
      <x:c r="C56" t="str">
        <x:v>Summer Sale</x:v>
      </x:c>
      <x:c r="D56" t="n">
        <x:v>2059.32</x:v>
      </x:c>
      <x:c r="E56" t="n">
        <x:v>5434</x:v>
      </x:c>
      <x:c r="F56" t="n">
        <x:v>172</x:v>
      </x:c>
      <x:c r="G56" t="n">
        <x:v>6</x:v>
      </x:c>
      <x:c r="H56" t="n">
        <x:v>2</x:v>
      </x:c>
      <x:c r="I56" t="n">
        <x:v>1</x:v>
      </x:c>
      <x:c r="J56" t="n">
        <x:v>1733.26</x:v>
      </x:c>
    </x:row>
    <x:row r="57">
      <x:c r="A57" t="str">
        <x:v>2026-05-15</x:v>
      </x:c>
      <x:c r="B57" t="str">
        <x:v>Paid Search</x:v>
      </x:c>
      <x:c r="C57" t="str">
        <x:v>New Product</x:v>
      </x:c>
      <x:c r="D57" t="n">
        <x:v>1158.34</x:v>
      </x:c>
      <x:c r="E57" t="n">
        <x:v>14758</x:v>
      </x:c>
      <x:c r="F57" t="n">
        <x:v>767</x:v>
      </x:c>
      <x:c r="G57" t="n">
        <x:v>50</x:v>
      </x:c>
      <x:c r="H57" t="n">
        <x:v>18</x:v>
      </x:c>
      <x:c r="I57" t="n">
        <x:v>5</x:v>
      </x:c>
      <x:c r="J57" t="n">
        <x:v>24848.04</x:v>
      </x:c>
    </x:row>
    <x:row r="58">
      <x:c r="A58" t="str">
        <x:v>2026-04-28</x:v>
      </x:c>
      <x:c r="B58" t="str">
        <x:v>Organic</x:v>
      </x:c>
      <x:c r="C58" t="str">
        <x:v>New Product</x:v>
      </x:c>
      <x:c r="D58" t="n">
        <x:v>491.61</x:v>
      </x:c>
      <x:c r="E58" t="n">
        <x:v>94613</x:v>
      </x:c>
      <x:c r="F58" t="n">
        <x:v>2170</x:v>
      </x:c>
      <x:c r="G58" t="n">
        <x:v>80</x:v>
      </x:c>
      <x:c r="H58" t="n">
        <x:v>27</x:v>
      </x:c>
      <x:c r="I58" t="n">
        <x:v>7</x:v>
      </x:c>
      <x:c r="J58" t="n">
        <x:v>32748.03</x:v>
      </x:c>
    </x:row>
    <x:row r="59">
      <x:c r="A59" t="str">
        <x:v>2026-03-26</x:v>
      </x:c>
      <x:c r="B59" t="str">
        <x:v>Email</x:v>
      </x:c>
      <x:c r="C59" t="str">
        <x:v>Retargeting</x:v>
      </x:c>
      <x:c r="D59" t="n">
        <x:v>2560.37</x:v>
      </x:c>
      <x:c r="E59" t="n">
        <x:v>22490</x:v>
      </x:c>
      <x:c r="F59" t="n">
        <x:v>194</x:v>
      </x:c>
      <x:c r="G59" t="n">
        <x:v>7</x:v>
      </x:c>
      <x:c r="H59" t="n">
        <x:v>1</x:v>
      </x:c>
      <x:c r="I59" t="n">
        <x:v>0</x:v>
      </x:c>
      <x:c r="J59" t="n">
        <x:v>0</x:v>
      </x:c>
    </x:row>
    <x:row r="60">
      <x:c r="A60" t="str">
        <x:v>2026-06-22</x:v>
      </x:c>
      <x:c r="B60" t="str">
        <x:v>Organic</x:v>
      </x:c>
      <x:c r="C60" t="str">
        <x:v>Retargeting</x:v>
      </x:c>
      <x:c r="D60" t="n">
        <x:v>2893.71</x:v>
      </x:c>
      <x:c r="E60" t="n">
        <x:v>42426</x:v>
      </x:c>
      <x:c r="F60" t="n">
        <x:v>1364</x:v>
      </x:c>
      <x:c r="G60" t="n">
        <x:v>136</x:v>
      </x:c>
      <x:c r="H60" t="n">
        <x:v>25</x:v>
      </x:c>
      <x:c r="I60" t="n">
        <x:v>12</x:v>
      </x:c>
      <x:c r="J60" t="n">
        <x:v>28267.8</x:v>
      </x:c>
    </x:row>
    <x:row r="61">
      <x:c r="A61" t="str">
        <x:v>2026-01-22</x:v>
      </x:c>
      <x:c r="B61" t="str">
        <x:v>Organic</x:v>
      </x:c>
      <x:c r="C61" t="str">
        <x:v>Brand</x:v>
      </x:c>
      <x:c r="D61" t="n">
        <x:v>1300.44</x:v>
      </x:c>
      <x:c r="E61" t="n">
        <x:v>15022</x:v>
      </x:c>
      <x:c r="F61" t="n">
        <x:v>760</x:v>
      </x:c>
      <x:c r="G61" t="n">
        <x:v>133</x:v>
      </x:c>
      <x:c r="H61" t="n">
        <x:v>37</x:v>
      </x:c>
      <x:c r="I61" t="n">
        <x:v>10</x:v>
      </x:c>
      <x:c r="J61" t="n">
        <x:v>24170.56</x:v>
      </x:c>
    </x:row>
    <x:row r="62">
      <x:c r="A62" t="str">
        <x:v>2026-02-23</x:v>
      </x:c>
      <x:c r="B62" t="str">
        <x:v>Paid Search</x:v>
      </x:c>
      <x:c r="C62" t="str">
        <x:v>Loyalty</x:v>
      </x:c>
      <x:c r="D62" t="n">
        <x:v>543.15</x:v>
      </x:c>
      <x:c r="E62" t="n">
        <x:v>102974</x:v>
      </x:c>
      <x:c r="F62" t="n">
        <x:v>3629</x:v>
      </x:c>
      <x:c r="G62" t="n">
        <x:v>627</x:v>
      </x:c>
      <x:c r="H62" t="n">
        <x:v>118</x:v>
      </x:c>
      <x:c r="I62" t="n">
        <x:v>57</x:v>
      </x:c>
      <x:c r="J62" t="n">
        <x:v>236590.88</x:v>
      </x:c>
    </x:row>
    <x:row r="63">
      <x:c r="A63" t="str">
        <x:v>2026-01-29</x:v>
      </x:c>
      <x:c r="B63" t="str">
        <x:v>Email</x:v>
      </x:c>
      <x:c r="C63" t="str">
        <x:v>Summer Sale</x:v>
      </x:c>
      <x:c r="D63" t="n">
        <x:v>2091.97</x:v>
      </x:c>
      <x:c r="E63" t="n">
        <x:v>119838</x:v>
      </x:c>
      <x:c r="F63" t="n">
        <x:v>3988</x:v>
      </x:c>
      <x:c r="G63" t="n">
        <x:v>134</x:v>
      </x:c>
      <x:c r="H63" t="n">
        <x:v>20</x:v>
      </x:c>
      <x:c r="I63" t="n">
        <x:v>7</x:v>
      </x:c>
      <x:c r="J63" t="n">
        <x:v>26700.87</x:v>
      </x:c>
    </x:row>
    <x:row r="64">
      <x:c r="A64" t="str">
        <x:v>2026-03-19</x:v>
      </x:c>
      <x:c r="B64" t="str">
        <x:v>Paid Social</x:v>
      </x:c>
      <x:c r="C64" t="str">
        <x:v>New Product</x:v>
      </x:c>
      <x:c r="D64" t="n">
        <x:v>1507.05</x:v>
      </x:c>
      <x:c r="E64" t="n">
        <x:v>46428</x:v>
      </x:c>
      <x:c r="F64" t="n">
        <x:v>663</x:v>
      </x:c>
      <x:c r="G64" t="n">
        <x:v>52</x:v>
      </x:c>
      <x:c r="H64" t="n">
        <x:v>12</x:v>
      </x:c>
      <x:c r="I64" t="n">
        <x:v>3</x:v>
      </x:c>
      <x:c r="J64" t="n">
        <x:v>10529.72</x:v>
      </x:c>
    </x:row>
    <x:row r="65">
      <x:c r="A65" t="str">
        <x:v>2026-02-20</x:v>
      </x:c>
      <x:c r="B65" t="str">
        <x:v>Paid Search</x:v>
      </x:c>
      <x:c r="C65" t="str">
        <x:v>Retargeting</x:v>
      </x:c>
      <x:c r="D65" t="n">
        <x:v>1162.21</x:v>
      </x:c>
      <x:c r="E65" t="n">
        <x:v>13516</x:v>
      </x:c>
      <x:c r="F65" t="n">
        <x:v>384</x:v>
      </x:c>
      <x:c r="G65" t="n">
        <x:v>69</x:v>
      </x:c>
      <x:c r="H65" t="n">
        <x:v>22</x:v>
      </x:c>
      <x:c r="I65" t="n">
        <x:v>7</x:v>
      </x:c>
      <x:c r="J65" t="n">
        <x:v>25778.94</x:v>
      </x:c>
    </x:row>
    <x:row r="66">
      <x:c r="A66" t="str">
        <x:v>2026-03-12</x:v>
      </x:c>
      <x:c r="B66" t="str">
        <x:v>Paid Search</x:v>
      </x:c>
      <x:c r="C66" t="str">
        <x:v>Retargeting</x:v>
      </x:c>
      <x:c r="D66" t="n">
        <x:v>586.5</x:v>
      </x:c>
      <x:c r="E66" t="n">
        <x:v>114402</x:v>
      </x:c>
      <x:c r="F66" t="n">
        <x:v>4853</x:v>
      </x:c>
      <x:c r="G66" t="n">
        <x:v>607</x:v>
      </x:c>
      <x:c r="H66" t="n">
        <x:v>118</x:v>
      </x:c>
      <x:c r="I66" t="n">
        <x:v>63</x:v>
      </x:c>
      <x:c r="J66" t="n">
        <x:v>235002.37</x:v>
      </x:c>
    </x:row>
    <x:row r="67">
      <x:c r="A67" t="str">
        <x:v>2026-03-22</x:v>
      </x:c>
      <x:c r="B67" t="str">
        <x:v>Paid Social</x:v>
      </x:c>
      <x:c r="C67" t="str">
        <x:v>Retargeting</x:v>
      </x:c>
      <x:c r="D67" t="n">
        <x:v>3183.54</x:v>
      </x:c>
      <x:c r="E67" t="n">
        <x:v>61065</x:v>
      </x:c>
      <x:c r="F67" t="n">
        <x:v>3296</x:v>
      </x:c>
      <x:c r="G67" t="n">
        <x:v>500</x:v>
      </x:c>
      <x:c r="H67" t="n">
        <x:v>169</x:v>
      </x:c>
      <x:c r="I67" t="n">
        <x:v>87</x:v>
      </x:c>
      <x:c r="J67" t="n">
        <x:v>579076.87</x:v>
      </x:c>
    </x:row>
    <x:row r="68">
      <x:c r="A68" t="str">
        <x:v>2026-05-21</x:v>
      </x:c>
      <x:c r="B68" t="str">
        <x:v>Paid Social</x:v>
      </x:c>
      <x:c r="C68" t="str">
        <x:v>Brand</x:v>
      </x:c>
      <x:c r="D68" t="n">
        <x:v>388.01</x:v>
      </x:c>
      <x:c r="E68" t="n">
        <x:v>100990</x:v>
      </x:c>
      <x:c r="F68" t="n">
        <x:v>2965</x:v>
      </x:c>
      <x:c r="G68" t="n">
        <x:v>362</x:v>
      </x:c>
      <x:c r="H68" t="n">
        <x:v>69</x:v>
      </x:c>
      <x:c r="I68" t="n">
        <x:v>34</x:v>
      </x:c>
      <x:c r="J68" t="n">
        <x:v>136555.41</x:v>
      </x:c>
    </x:row>
    <x:row r="69">
      <x:c r="A69" t="str">
        <x:v>2026-05-21</x:v>
      </x:c>
      <x:c r="B69" t="str">
        <x:v>Paid Social</x:v>
      </x:c>
      <x:c r="C69" t="str">
        <x:v>Summer Sale</x:v>
      </x:c>
      <x:c r="D69" t="n">
        <x:v>1994.3</x:v>
      </x:c>
      <x:c r="E69" t="n">
        <x:v>50044</x:v>
      </x:c>
      <x:c r="F69" t="n">
        <x:v>1133</x:v>
      </x:c>
      <x:c r="G69" t="n">
        <x:v>77</x:v>
      </x:c>
      <x:c r="H69" t="n">
        <x:v>28</x:v>
      </x:c>
      <x:c r="I69" t="n">
        <x:v>11</x:v>
      </x:c>
      <x:c r="J69" t="n">
        <x:v>39116.15</x:v>
      </x:c>
    </x:row>
    <x:row r="70">
      <x:c r="A70" t="str">
        <x:v>2026-03-03</x:v>
      </x:c>
      <x:c r="B70" t="str">
        <x:v>Email</x:v>
      </x:c>
      <x:c r="C70" t="str">
        <x:v>New Product</x:v>
      </x:c>
      <x:c r="D70" t="n">
        <x:v>2317.82</x:v>
      </x:c>
      <x:c r="E70" t="n">
        <x:v>56690</x:v>
      </x:c>
      <x:c r="F70" t="n">
        <x:v>806</x:v>
      </x:c>
      <x:c r="G70" t="n">
        <x:v>101</x:v>
      </x:c>
      <x:c r="H70" t="n">
        <x:v>17</x:v>
      </x:c>
      <x:c r="I70" t="n">
        <x:v>6</x:v>
      </x:c>
      <x:c r="J70" t="n">
        <x:v>35451.56</x:v>
      </x:c>
    </x:row>
    <x:row r="71">
      <x:c r="A71" t="str">
        <x:v>2026-05-21</x:v>
      </x:c>
      <x:c r="B71" t="str">
        <x:v>Paid Social</x:v>
      </x:c>
      <x:c r="C71" t="str">
        <x:v>New Product</x:v>
      </x:c>
      <x:c r="D71" t="n">
        <x:v>3643.79</x:v>
      </x:c>
      <x:c r="E71" t="n">
        <x:v>104516</x:v>
      </x:c>
      <x:c r="F71" t="n">
        <x:v>3281</x:v>
      </x:c>
      <x:c r="G71" t="n">
        <x:v>167</x:v>
      </x:c>
      <x:c r="H71" t="n">
        <x:v>34</x:v>
      </x:c>
      <x:c r="I71" t="n">
        <x:v>7</x:v>
      </x:c>
      <x:c r="J71" t="n">
        <x:v>22283.38</x:v>
      </x:c>
    </x:row>
    <x:row r="72">
      <x:c r="A72" t="str">
        <x:v>2026-01-24</x:v>
      </x:c>
      <x:c r="B72" t="str">
        <x:v>Email</x:v>
      </x:c>
      <x:c r="C72" t="str">
        <x:v>Summer Sale</x:v>
      </x:c>
      <x:c r="D72" t="n">
        <x:v>1599.56</x:v>
      </x:c>
      <x:c r="E72" t="n">
        <x:v>111084</x:v>
      </x:c>
      <x:c r="F72" t="n">
        <x:v>4178</x:v>
      </x:c>
      <x:c r="G72" t="n">
        <x:v>681</x:v>
      </x:c>
      <x:c r="H72" t="n">
        <x:v>255</x:v>
      </x:c>
      <x:c r="I72" t="n">
        <x:v>87</x:v>
      </x:c>
      <x:c r="J72" t="n">
        <x:v>313245.65</x:v>
      </x:c>
    </x:row>
    <x:row r="73">
      <x:c r="A73" t="str">
        <x:v>2026-05-15</x:v>
      </x:c>
      <x:c r="B73" t="str">
        <x:v>Paid Social</x:v>
      </x:c>
      <x:c r="C73" t="str">
        <x:v>New Product</x:v>
      </x:c>
      <x:c r="D73" t="n">
        <x:v>1226.91</x:v>
      </x:c>
      <x:c r="E73" t="n">
        <x:v>103580</x:v>
      </x:c>
      <x:c r="F73" t="n">
        <x:v>1162</x:v>
      </x:c>
      <x:c r="G73" t="n">
        <x:v>83</x:v>
      </x:c>
      <x:c r="H73" t="n">
        <x:v>36</x:v>
      </x:c>
      <x:c r="I73" t="n">
        <x:v>8</x:v>
      </x:c>
      <x:c r="J73" t="n">
        <x:v>32957.56</x:v>
      </x:c>
    </x:row>
    <x:row r="74">
      <x:c r="A74" t="str">
        <x:v>2026-06-11</x:v>
      </x:c>
      <x:c r="B74" t="str">
        <x:v>Paid Social</x:v>
      </x:c>
      <x:c r="C74" t="str">
        <x:v>Brand</x:v>
      </x:c>
      <x:c r="D74" t="n">
        <x:v>1229.88</x:v>
      </x:c>
      <x:c r="E74" t="n">
        <x:v>37565</x:v>
      </x:c>
      <x:c r="F74" t="n">
        <x:v>1051</x:v>
      </x:c>
      <x:c r="G74" t="n">
        <x:v>133</x:v>
      </x:c>
      <x:c r="H74" t="n">
        <x:v>37</x:v>
      </x:c>
      <x:c r="I74" t="n">
        <x:v>11</x:v>
      </x:c>
      <x:c r="J74" t="n">
        <x:v>65154.83</x:v>
      </x:c>
    </x:row>
    <x:row r="75">
      <x:c r="A75" t="str">
        <x:v>2026-01-06</x:v>
      </x:c>
      <x:c r="B75" t="str">
        <x:v>Paid Social</x:v>
      </x:c>
      <x:c r="C75" t="str">
        <x:v>Brand</x:v>
      </x:c>
      <x:c r="D75" t="n">
        <x:v>1815.76</x:v>
      </x:c>
      <x:c r="E75" t="n">
        <x:v>105098</x:v>
      </x:c>
      <x:c r="F75" t="n">
        <x:v>5735</x:v>
      </x:c>
      <x:c r="G75" t="n">
        <x:v>579</x:v>
      </x:c>
      <x:c r="H75" t="n">
        <x:v>188</x:v>
      </x:c>
      <x:c r="I75" t="n">
        <x:v>37</x:v>
      </x:c>
      <x:c r="J75" t="n">
        <x:v>128420.43</x:v>
      </x:c>
    </x:row>
    <x:row r="76">
      <x:c r="A76" t="str">
        <x:v>2026-05-16</x:v>
      </x:c>
      <x:c r="B76" t="str">
        <x:v>Organic</x:v>
      </x:c>
      <x:c r="C76" t="str">
        <x:v>New Product</x:v>
      </x:c>
      <x:c r="D76" t="n">
        <x:v>1144.17</x:v>
      </x:c>
      <x:c r="E76" t="n">
        <x:v>19292</x:v>
      </x:c>
      <x:c r="F76" t="n">
        <x:v>378</x:v>
      </x:c>
      <x:c r="G76" t="n">
        <x:v>19</x:v>
      </x:c>
      <x:c r="H76" t="n">
        <x:v>8</x:v>
      </x:c>
      <x:c r="I76" t="n">
        <x:v>1</x:v>
      </x:c>
      <x:c r="J76" t="n">
        <x:v>5987.29</x:v>
      </x:c>
    </x:row>
    <x:row r="77">
      <x:c r="A77" t="str">
        <x:v>2026-06-29</x:v>
      </x:c>
      <x:c r="B77" t="str">
        <x:v>Organic</x:v>
      </x:c>
      <x:c r="C77" t="str">
        <x:v>Brand</x:v>
      </x:c>
      <x:c r="D77" t="n">
        <x:v>2295.7</x:v>
      </x:c>
      <x:c r="E77" t="n">
        <x:v>10183</x:v>
      </x:c>
      <x:c r="F77" t="n">
        <x:v>82</x:v>
      </x:c>
      <x:c r="G77" t="n">
        <x:v>4</x:v>
      </x:c>
      <x:c r="H77" t="n">
        <x:v>1</x:v>
      </x:c>
      <x:c r="I77" t="n">
        <x:v>0</x:v>
      </x:c>
      <x:c r="J77" t="n">
        <x:v>0</x:v>
      </x:c>
    </x:row>
    <x:row r="78">
      <x:c r="A78" t="str">
        <x:v>2026-02-02</x:v>
      </x:c>
      <x:c r="B78" t="str">
        <x:v>Email</x:v>
      </x:c>
      <x:c r="C78" t="str">
        <x:v>Loyalty</x:v>
      </x:c>
      <x:c r="D78" t="n">
        <x:v>2617.91</x:v>
      </x:c>
      <x:c r="E78" t="n">
        <x:v>96564</x:v>
      </x:c>
      <x:c r="F78" t="n">
        <x:v>4608</x:v>
      </x:c>
      <x:c r="G78" t="n">
        <x:v>206</x:v>
      </x:c>
      <x:c r="H78" t="n">
        <x:v>49</x:v>
      </x:c>
      <x:c r="I78" t="n">
        <x:v>25</x:v>
      </x:c>
      <x:c r="J78" t="n">
        <x:v>57796.76</x:v>
      </x:c>
    </x:row>
    <x:row r="79">
      <x:c r="A79" t="str">
        <x:v>2026-03-08</x:v>
      </x:c>
      <x:c r="B79" t="str">
        <x:v>Paid Social</x:v>
      </x:c>
      <x:c r="C79" t="str">
        <x:v>Loyalty</x:v>
      </x:c>
      <x:c r="D79" t="n">
        <x:v>204.38</x:v>
      </x:c>
      <x:c r="E79" t="n">
        <x:v>75448</x:v>
      </x:c>
      <x:c r="F79" t="n">
        <x:v>1786</x:v>
      </x:c>
      <x:c r="G79" t="n">
        <x:v>176</x:v>
      </x:c>
      <x:c r="H79" t="n">
        <x:v>77</x:v>
      </x:c>
      <x:c r="I79" t="n">
        <x:v>32</x:v>
      </x:c>
      <x:c r="J79" t="n">
        <x:v>202428.46</x:v>
      </x:c>
    </x:row>
    <x:row r="80">
      <x:c r="A80" t="str">
        <x:v>2026-05-02</x:v>
      </x:c>
      <x:c r="B80" t="str">
        <x:v>Affiliate</x:v>
      </x:c>
      <x:c r="C80" t="str">
        <x:v>Summer Sale</x:v>
      </x:c>
      <x:c r="D80" t="n">
        <x:v>2278.61</x:v>
      </x:c>
      <x:c r="E80" t="n">
        <x:v>8837</x:v>
      </x:c>
      <x:c r="F80" t="n">
        <x:v>512</x:v>
      </x:c>
      <x:c r="G80" t="n">
        <x:v>69</x:v>
      </x:c>
      <x:c r="H80" t="n">
        <x:v>16</x:v>
      </x:c>
      <x:c r="I80" t="n">
        <x:v>3</x:v>
      </x:c>
      <x:c r="J80" t="n">
        <x:v>12270.6</x:v>
      </x:c>
    </x:row>
    <x:row r="81">
      <x:c r="A81" t="str">
        <x:v>2026-06-22</x:v>
      </x:c>
      <x:c r="B81" t="str">
        <x:v>Organic</x:v>
      </x:c>
      <x:c r="C81" t="str">
        <x:v>Brand</x:v>
      </x:c>
      <x:c r="D81" t="n">
        <x:v>1177.57</x:v>
      </x:c>
      <x:c r="E81" t="n">
        <x:v>92471</x:v>
      </x:c>
      <x:c r="F81" t="n">
        <x:v>2780</x:v>
      </x:c>
      <x:c r="G81" t="n">
        <x:v>237</x:v>
      </x:c>
      <x:c r="H81" t="n">
        <x:v>70</x:v>
      </x:c>
      <x:c r="I81" t="n">
        <x:v>31</x:v>
      </x:c>
      <x:c r="J81" t="n">
        <x:v>166356.14</x:v>
      </x:c>
    </x:row>
    <x:row r="82">
      <x:c r="A82" t="str">
        <x:v>2026-04-03</x:v>
      </x:c>
      <x:c r="B82" t="str">
        <x:v>Organic</x:v>
      </x:c>
      <x:c r="C82" t="str">
        <x:v>Summer Sale</x:v>
      </x:c>
      <x:c r="D82" t="n">
        <x:v>225.66</x:v>
      </x:c>
      <x:c r="E82" t="n">
        <x:v>43287</x:v>
      </x:c>
      <x:c r="F82" t="n">
        <x:v>2010</x:v>
      </x:c>
      <x:c r="G82" t="n">
        <x:v>212</x:v>
      </x:c>
      <x:c r="H82" t="n">
        <x:v>44</x:v>
      </x:c>
      <x:c r="I82" t="n">
        <x:v>23</x:v>
      </x:c>
      <x:c r="J82" t="n">
        <x:v>69182.88</x:v>
      </x:c>
    </x:row>
    <x:row r="83">
      <x:c r="A83" t="str">
        <x:v>2026-07-29</x:v>
      </x:c>
      <x:c r="B83" t="str">
        <x:v>Paid Social</x:v>
      </x:c>
      <x:c r="C83" t="str">
        <x:v>Summer Sale</x:v>
      </x:c>
      <x:c r="D83" t="n">
        <x:v>1967.43</x:v>
      </x:c>
      <x:c r="E83" t="n">
        <x:v>39736</x:v>
      </x:c>
      <x:c r="F83" t="n">
        <x:v>1889</x:v>
      </x:c>
      <x:c r="G83" t="n">
        <x:v>140</x:v>
      </x:c>
      <x:c r="H83" t="n">
        <x:v>60</x:v>
      </x:c>
      <x:c r="I83" t="n">
        <x:v>22</x:v>
      </x:c>
      <x:c r="J83" t="n">
        <x:v>50301.17</x:v>
      </x:c>
    </x:row>
    <x:row r="84">
      <x:c r="A84" t="str">
        <x:v>2026-02-27</x:v>
      </x:c>
      <x:c r="B84" t="str">
        <x:v>Organic</x:v>
      </x:c>
      <x:c r="C84" t="str">
        <x:v>New Product</x:v>
      </x:c>
      <x:c r="D84" t="n">
        <x:v>3659.5</x:v>
      </x:c>
      <x:c r="E84" t="n">
        <x:v>12394</x:v>
      </x:c>
      <x:c r="F84" t="n">
        <x:v>710</x:v>
      </x:c>
      <x:c r="G84" t="n">
        <x:v>36</x:v>
      </x:c>
      <x:c r="H84" t="n">
        <x:v>9</x:v>
      </x:c>
      <x:c r="I84" t="n">
        <x:v>2</x:v>
      </x:c>
      <x:c r="J84" t="n">
        <x:v>13699.79</x:v>
      </x:c>
    </x:row>
    <x:row r="85">
      <x:c r="A85" t="str">
        <x:v>2026-02-06</x:v>
      </x:c>
      <x:c r="B85" t="str">
        <x:v>Organic</x:v>
      </x:c>
      <x:c r="C85" t="str">
        <x:v>Brand</x:v>
      </x:c>
      <x:c r="D85" t="n">
        <x:v>2897.46</x:v>
      </x:c>
      <x:c r="E85" t="n">
        <x:v>29130</x:v>
      </x:c>
      <x:c r="F85" t="n">
        <x:v>828</x:v>
      </x:c>
      <x:c r="G85" t="n">
        <x:v>136</x:v>
      </x:c>
      <x:c r="H85" t="n">
        <x:v>56</x:v>
      </x:c>
      <x:c r="I85" t="n">
        <x:v>25</x:v>
      </x:c>
      <x:c r="J85" t="n">
        <x:v>174641.82</x:v>
      </x:c>
    </x:row>
    <x:row r="86">
      <x:c r="A86" t="str">
        <x:v>2026-02-12</x:v>
      </x:c>
      <x:c r="B86" t="str">
        <x:v>Email</x:v>
      </x:c>
      <x:c r="C86" t="str">
        <x:v>Summer Sale</x:v>
      </x:c>
      <x:c r="D86" t="n">
        <x:v>904.95</x:v>
      </x:c>
      <x:c r="E86" t="n">
        <x:v>73786</x:v>
      </x:c>
      <x:c r="F86" t="n">
        <x:v>3453</x:v>
      </x:c>
      <x:c r="G86" t="n">
        <x:v>120</x:v>
      </x:c>
      <x:c r="H86" t="n">
        <x:v>41</x:v>
      </x:c>
      <x:c r="I86" t="n">
        <x:v>13</x:v>
      </x:c>
      <x:c r="J86" t="n">
        <x:v>43790.82</x:v>
      </x:c>
    </x:row>
    <x:row r="87">
      <x:c r="A87" t="str">
        <x:v>2026-03-26</x:v>
      </x:c>
      <x:c r="B87" t="str">
        <x:v>Organic</x:v>
      </x:c>
      <x:c r="C87" t="str">
        <x:v>Summer Sale</x:v>
      </x:c>
      <x:c r="D87" t="n">
        <x:v>614.04</x:v>
      </x:c>
      <x:c r="E87" t="n">
        <x:v>15255</x:v>
      </x:c>
      <x:c r="F87" t="n">
        <x:v>343</x:v>
      </x:c>
      <x:c r="G87" t="n">
        <x:v>28</x:v>
      </x:c>
      <x:c r="H87" t="n">
        <x:v>12</x:v>
      </x:c>
      <x:c r="I87" t="n">
        <x:v>2</x:v>
      </x:c>
      <x:c r="J87" t="n">
        <x:v>13585.55</x:v>
      </x:c>
    </x:row>
    <x:row r="88">
      <x:c r="A88" t="str">
        <x:v>2026-02-23</x:v>
      </x:c>
      <x:c r="B88" t="str">
        <x:v>Organic</x:v>
      </x:c>
      <x:c r="C88" t="str">
        <x:v>Retargeting</x:v>
      </x:c>
      <x:c r="D88" t="n">
        <x:v>3121.18</x:v>
      </x:c>
      <x:c r="E88" t="n">
        <x:v>45461</x:v>
      </x:c>
      <x:c r="F88" t="n">
        <x:v>2306</x:v>
      </x:c>
      <x:c r="G88" t="n">
        <x:v>218</x:v>
      </x:c>
      <x:c r="H88" t="n">
        <x:v>35</x:v>
      </x:c>
      <x:c r="I88" t="n">
        <x:v>12</x:v>
      </x:c>
      <x:c r="J88" t="n">
        <x:v>40340.92</x:v>
      </x:c>
    </x:row>
    <x:row r="89">
      <x:c r="A89" t="str">
        <x:v>2026-04-25</x:v>
      </x:c>
      <x:c r="B89" t="str">
        <x:v>Paid Social</x:v>
      </x:c>
      <x:c r="C89" t="str">
        <x:v>Retargeting</x:v>
      </x:c>
      <x:c r="D89" t="n">
        <x:v>1584.15</x:v>
      </x:c>
      <x:c r="E89" t="n">
        <x:v>67198</x:v>
      </x:c>
      <x:c r="F89" t="n">
        <x:v>643</x:v>
      </x:c>
      <x:c r="G89" t="n">
        <x:v>58</x:v>
      </x:c>
      <x:c r="H89" t="n">
        <x:v>22</x:v>
      </x:c>
      <x:c r="I89" t="n">
        <x:v>10</x:v>
      </x:c>
      <x:c r="J89" t="n">
        <x:v>14357.67</x:v>
      </x:c>
    </x:row>
    <x:row r="90">
      <x:c r="A90" t="str">
        <x:v>2026-01-09</x:v>
      </x:c>
      <x:c r="B90" t="str">
        <x:v>Organic</x:v>
      </x:c>
      <x:c r="C90" t="str">
        <x:v>Brand</x:v>
      </x:c>
      <x:c r="D90" t="n">
        <x:v>3252.68</x:v>
      </x:c>
      <x:c r="E90" t="n">
        <x:v>13126</x:v>
      </x:c>
      <x:c r="F90" t="n">
        <x:v>280</x:v>
      </x:c>
      <x:c r="G90" t="n">
        <x:v>39</x:v>
      </x:c>
      <x:c r="H90" t="n">
        <x:v>16</x:v>
      </x:c>
      <x:c r="I90" t="n">
        <x:v>5</x:v>
      </x:c>
      <x:c r="J90" t="n">
        <x:v>13897.13</x:v>
      </x:c>
    </x:row>
    <x:row r="91">
      <x:c r="A91" t="str">
        <x:v>2026-06-07</x:v>
      </x:c>
      <x:c r="B91" t="str">
        <x:v>Paid Search</x:v>
      </x:c>
      <x:c r="C91" t="str">
        <x:v>Retargeting</x:v>
      </x:c>
      <x:c r="D91" t="n">
        <x:v>3036.46</x:v>
      </x:c>
      <x:c r="E91" t="n">
        <x:v>95384</x:v>
      </x:c>
      <x:c r="F91" t="n">
        <x:v>2332</x:v>
      </x:c>
      <x:c r="G91" t="n">
        <x:v>166</x:v>
      </x:c>
      <x:c r="H91" t="n">
        <x:v>25</x:v>
      </x:c>
      <x:c r="I91" t="n">
        <x:v>11</x:v>
      </x:c>
      <x:c r="J91" t="n">
        <x:v>71670.12</x:v>
      </x:c>
    </x:row>
    <x:row r="92">
      <x:c r="A92" t="str">
        <x:v>2026-06-12</x:v>
      </x:c>
      <x:c r="B92" t="str">
        <x:v>Paid Search</x:v>
      </x:c>
      <x:c r="C92" t="str">
        <x:v>Brand</x:v>
      </x:c>
      <x:c r="D92" t="n">
        <x:v>3338.87</x:v>
      </x:c>
      <x:c r="E92" t="n">
        <x:v>19058</x:v>
      </x:c>
      <x:c r="F92" t="n">
        <x:v>623</x:v>
      </x:c>
      <x:c r="G92" t="n">
        <x:v>108</x:v>
      </x:c>
      <x:c r="H92" t="n">
        <x:v>47</x:v>
      </x:c>
      <x:c r="I92" t="n">
        <x:v>15</x:v>
      </x:c>
      <x:c r="J92" t="n">
        <x:v>39841.07</x:v>
      </x:c>
    </x:row>
    <x:row r="93">
      <x:c r="A93" t="str">
        <x:v>2026-04-21</x:v>
      </x:c>
      <x:c r="B93" t="str">
        <x:v>Organic</x:v>
      </x:c>
      <x:c r="C93" t="str">
        <x:v>Summer Sale</x:v>
      </x:c>
      <x:c r="D93" t="n">
        <x:v>3726.78</x:v>
      </x:c>
      <x:c r="E93" t="n">
        <x:v>28978</x:v>
      </x:c>
      <x:c r="F93" t="n">
        <x:v>244</x:v>
      </x:c>
      <x:c r="G93" t="n">
        <x:v>41</x:v>
      </x:c>
      <x:c r="H93" t="n">
        <x:v>9</x:v>
      </x:c>
      <x:c r="I93" t="n">
        <x:v>3</x:v>
      </x:c>
      <x:c r="J93" t="n">
        <x:v>6232.89</x:v>
      </x:c>
    </x:row>
    <x:row r="94">
      <x:c r="A94" t="str">
        <x:v>2026-03-02</x:v>
      </x:c>
      <x:c r="B94" t="str">
        <x:v>Email</x:v>
      </x:c>
      <x:c r="C94" t="str">
        <x:v>Retargeting</x:v>
      </x:c>
      <x:c r="D94" t="n">
        <x:v>1950.97</x:v>
      </x:c>
      <x:c r="E94" t="n">
        <x:v>107738</x:v>
      </x:c>
      <x:c r="F94" t="n">
        <x:v>5244</x:v>
      </x:c>
      <x:c r="G94" t="n">
        <x:v>219</x:v>
      </x:c>
      <x:c r="H94" t="n">
        <x:v>45</x:v>
      </x:c>
      <x:c r="I94" t="n">
        <x:v>20</x:v>
      </x:c>
      <x:c r="J94" t="n">
        <x:v>52687.67</x:v>
      </x:c>
    </x:row>
    <x:row r="95">
      <x:c r="A95" t="str">
        <x:v>2026-01-17</x:v>
      </x:c>
      <x:c r="B95" t="str">
        <x:v>Paid Search</x:v>
      </x:c>
      <x:c r="C95" t="str">
        <x:v>New Product</x:v>
      </x:c>
      <x:c r="D95" t="n">
        <x:v>2299.86</x:v>
      </x:c>
      <x:c r="E95" t="n">
        <x:v>47697</x:v>
      </x:c>
      <x:c r="F95" t="n">
        <x:v>780</x:v>
      </x:c>
      <x:c r="G95" t="n">
        <x:v>73</x:v>
      </x:c>
      <x:c r="H95" t="n">
        <x:v>13</x:v>
      </x:c>
      <x:c r="I95" t="n">
        <x:v>2</x:v>
      </x:c>
      <x:c r="J95" t="n">
        <x:v>9645.38</x:v>
      </x:c>
    </x:row>
    <x:row r="96">
      <x:c r="A96" t="str">
        <x:v>2026-02-23</x:v>
      </x:c>
      <x:c r="B96" t="str">
        <x:v>Paid Search</x:v>
      </x:c>
      <x:c r="C96" t="str">
        <x:v>New Product</x:v>
      </x:c>
      <x:c r="D96" t="n">
        <x:v>2094.21</x:v>
      </x:c>
      <x:c r="E96" t="n">
        <x:v>98031</x:v>
      </x:c>
      <x:c r="F96" t="n">
        <x:v>5739</x:v>
      </x:c>
      <x:c r="G96" t="n">
        <x:v>321</x:v>
      </x:c>
      <x:c r="H96" t="n">
        <x:v>60</x:v>
      </x:c>
      <x:c r="I96" t="n">
        <x:v>21</x:v>
      </x:c>
      <x:c r="J96" t="n">
        <x:v>133755.78</x:v>
      </x:c>
    </x:row>
    <x:row r="97">
      <x:c r="A97" t="str">
        <x:v>2026-03-02</x:v>
      </x:c>
      <x:c r="B97" t="str">
        <x:v>Affiliate</x:v>
      </x:c>
      <x:c r="C97" t="str">
        <x:v>Brand</x:v>
      </x:c>
      <x:c r="D97" t="n">
        <x:v>3163.05</x:v>
      </x:c>
      <x:c r="E97" t="n">
        <x:v>43525</x:v>
      </x:c>
      <x:c r="F97" t="n">
        <x:v>1013</x:v>
      </x:c>
      <x:c r="G97" t="n">
        <x:v>116</x:v>
      </x:c>
      <x:c r="H97" t="n">
        <x:v>30</x:v>
      </x:c>
      <x:c r="I97" t="n">
        <x:v>13</x:v>
      </x:c>
      <x:c r="J97" t="n">
        <x:v>30618.93</x:v>
      </x:c>
    </x:row>
    <x:row r="98">
      <x:c r="A98" t="str">
        <x:v>2026-03-05</x:v>
      </x:c>
      <x:c r="B98" t="str">
        <x:v>Paid Social</x:v>
      </x:c>
      <x:c r="C98" t="str">
        <x:v>Summer Sale</x:v>
      </x:c>
      <x:c r="D98" t="n">
        <x:v>1094.92</x:v>
      </x:c>
      <x:c r="E98" t="n">
        <x:v>41877</x:v>
      </x:c>
      <x:c r="F98" t="n">
        <x:v>2260</x:v>
      </x:c>
      <x:c r="G98" t="n">
        <x:v>263</x:v>
      </x:c>
      <x:c r="H98" t="n">
        <x:v>65</x:v>
      </x:c>
      <x:c r="I98" t="n">
        <x:v>22</x:v>
      </x:c>
      <x:c r="J98" t="n">
        <x:v>153036.46</x:v>
      </x:c>
    </x:row>
    <x:row r="99">
      <x:c r="A99" t="str">
        <x:v>2026-05-10</x:v>
      </x:c>
      <x:c r="B99" t="str">
        <x:v>Affiliate</x:v>
      </x:c>
      <x:c r="C99" t="str">
        <x:v>Summer Sale</x:v>
      </x:c>
      <x:c r="D99" t="n">
        <x:v>2668.63</x:v>
      </x:c>
      <x:c r="E99" t="n">
        <x:v>18178</x:v>
      </x:c>
      <x:c r="F99" t="n">
        <x:v>762</x:v>
      </x:c>
      <x:c r="G99" t="n">
        <x:v>136</x:v>
      </x:c>
      <x:c r="H99" t="n">
        <x:v>24</x:v>
      </x:c>
      <x:c r="I99" t="n">
        <x:v>8</x:v>
      </x:c>
      <x:c r="J99" t="n">
        <x:v>47606.37</x:v>
      </x:c>
    </x:row>
    <x:row r="100">
      <x:c r="A100" t="str">
        <x:v>2026-04-25</x:v>
      </x:c>
      <x:c r="B100" t="str">
        <x:v>Email</x:v>
      </x:c>
      <x:c r="C100" t="str">
        <x:v>Brand</x:v>
      </x:c>
      <x:c r="D100" t="n">
        <x:v>3532.15</x:v>
      </x:c>
      <x:c r="E100" t="n">
        <x:v>35525</x:v>
      </x:c>
      <x:c r="F100" t="n">
        <x:v>504</x:v>
      </x:c>
      <x:c r="G100" t="n">
        <x:v>29</x:v>
      </x:c>
      <x:c r="H100" t="n">
        <x:v>12</x:v>
      </x:c>
      <x:c r="I100" t="n">
        <x:v>4</x:v>
      </x:c>
      <x:c r="J100" t="n">
        <x:v>26380.03</x:v>
      </x:c>
    </x:row>
    <x:row r="101">
      <x:c r="A101" t="str">
        <x:v>2026-04-06</x:v>
      </x:c>
      <x:c r="B101" t="str">
        <x:v>Affiliate</x:v>
      </x:c>
      <x:c r="C101" t="str">
        <x:v>Summer Sale</x:v>
      </x:c>
      <x:c r="D101" t="n">
        <x:v>1906.63</x:v>
      </x:c>
      <x:c r="E101" t="n">
        <x:v>39071</x:v>
      </x:c>
      <x:c r="F101" t="n">
        <x:v>1887</x:v>
      </x:c>
      <x:c r="G101" t="n">
        <x:v>244</x:v>
      </x:c>
      <x:c r="H101" t="n">
        <x:v>37</x:v>
      </x:c>
      <x:c r="I101" t="n">
        <x:v>15</x:v>
      </x:c>
      <x:c r="J101" t="n">
        <x:v>79744.43</x:v>
      </x:c>
    </x:row>
    <x:row r="102">
      <x:c r="A102" t="str">
        <x:v>2026-03-31</x:v>
      </x:c>
      <x:c r="B102" t="str">
        <x:v>Paid Social</x:v>
      </x:c>
      <x:c r="C102" t="str">
        <x:v>Brand</x:v>
      </x:c>
      <x:c r="D102" t="n">
        <x:v>1601.09</x:v>
      </x:c>
      <x:c r="E102" t="n">
        <x:v>23529</x:v>
      </x:c>
      <x:c r="F102" t="n">
        <x:v>242</x:v>
      </x:c>
      <x:c r="G102" t="n">
        <x:v>43</x:v>
      </x:c>
      <x:c r="H102" t="n">
        <x:v>6</x:v>
      </x:c>
      <x:c r="I102" t="n">
        <x:v>2</x:v>
      </x:c>
      <x:c r="J102" t="n">
        <x:v>13001.88</x:v>
      </x:c>
    </x:row>
    <x:row r="103">
      <x:c r="A103" t="str">
        <x:v>2026-07-28</x:v>
      </x:c>
      <x:c r="B103" t="str">
        <x:v>Paid Search</x:v>
      </x:c>
      <x:c r="C103" t="str">
        <x:v>Retargeting</x:v>
      </x:c>
      <x:c r="D103" t="n">
        <x:v>1754.18</x:v>
      </x:c>
      <x:c r="E103" t="n">
        <x:v>53733</x:v>
      </x:c>
      <x:c r="F103" t="n">
        <x:v>947</x:v>
      </x:c>
      <x:c r="G103" t="n">
        <x:v>72</x:v>
      </x:c>
      <x:c r="H103" t="n">
        <x:v>15</x:v>
      </x:c>
      <x:c r="I103" t="n">
        <x:v>7</x:v>
      </x:c>
      <x:c r="J103" t="n">
        <x:v>30650.62</x:v>
      </x:c>
    </x:row>
    <x:row r="104">
      <x:c r="A104" t="str">
        <x:v>2026-01-17</x:v>
      </x:c>
      <x:c r="B104" t="str">
        <x:v>Organic</x:v>
      </x:c>
      <x:c r="C104" t="str">
        <x:v>Brand</x:v>
      </x:c>
      <x:c r="D104" t="n">
        <x:v>3224.21</x:v>
      </x:c>
      <x:c r="E104" t="n">
        <x:v>92035</x:v>
      </x:c>
      <x:c r="F104" t="n">
        <x:v>3369</x:v>
      </x:c>
      <x:c r="G104" t="n">
        <x:v>424</x:v>
      </x:c>
      <x:c r="H104" t="n">
        <x:v>75</x:v>
      </x:c>
      <x:c r="I104" t="n">
        <x:v>19</x:v>
      </x:c>
      <x:c r="J104" t="n">
        <x:v>99433.73</x:v>
      </x:c>
    </x:row>
    <x:row r="105">
      <x:c r="A105" t="str">
        <x:v>2026-04-15</x:v>
      </x:c>
      <x:c r="B105" t="str">
        <x:v>Email</x:v>
      </x:c>
      <x:c r="C105" t="str">
        <x:v>Retargeting</x:v>
      </x:c>
      <x:c r="D105" t="n">
        <x:v>1787.81</x:v>
      </x:c>
      <x:c r="E105" t="n">
        <x:v>11731</x:v>
      </x:c>
      <x:c r="F105" t="n">
        <x:v>284</x:v>
      </x:c>
      <x:c r="G105" t="n">
        <x:v>32</x:v>
      </x:c>
      <x:c r="H105" t="n">
        <x:v>8</x:v>
      </x:c>
      <x:c r="I105" t="n">
        <x:v>2</x:v>
      </x:c>
      <x:c r="J105" t="n">
        <x:v>12425.26</x:v>
      </x:c>
    </x:row>
    <x:row r="106">
      <x:c r="A106" t="str">
        <x:v>2026-07-25</x:v>
      </x:c>
      <x:c r="B106" t="str">
        <x:v>Email</x:v>
      </x:c>
      <x:c r="C106" t="str">
        <x:v>Summer Sale</x:v>
      </x:c>
      <x:c r="D106" t="n">
        <x:v>1684.78</x:v>
      </x:c>
      <x:c r="E106" t="n">
        <x:v>58080</x:v>
      </x:c>
      <x:c r="F106" t="n">
        <x:v>1079</x:v>
      </x:c>
      <x:c r="G106" t="n">
        <x:v>33</x:v>
      </x:c>
      <x:c r="H106" t="n">
        <x:v>13</x:v>
      </x:c>
      <x:c r="I106" t="n">
        <x:v>4</x:v>
      </x:c>
      <x:c r="J106" t="n">
        <x:v>23832.55</x:v>
      </x:c>
    </x:row>
    <x:row r="107">
      <x:c r="A107" t="str">
        <x:v>2026-04-14</x:v>
      </x:c>
      <x:c r="B107" t="str">
        <x:v>Affiliate</x:v>
      </x:c>
      <x:c r="C107" t="str">
        <x:v>Retargeting</x:v>
      </x:c>
      <x:c r="D107" t="n">
        <x:v>1951.44</x:v>
      </x:c>
      <x:c r="E107" t="n">
        <x:v>26305</x:v>
      </x:c>
      <x:c r="F107" t="n">
        <x:v>388</x:v>
      </x:c>
      <x:c r="G107" t="n">
        <x:v>14</x:v>
      </x:c>
      <x:c r="H107" t="n">
        <x:v>2</x:v>
      </x:c>
      <x:c r="I107" t="n">
        <x:v>0</x:v>
      </x:c>
      <x:c r="J107" t="n">
        <x:v>0</x:v>
      </x:c>
    </x:row>
    <x:row r="108">
      <x:c r="A108" t="str">
        <x:v>2026-05-27</x:v>
      </x:c>
      <x:c r="B108" t="str">
        <x:v>Affiliate</x:v>
      </x:c>
      <x:c r="C108" t="str">
        <x:v>Retargeting</x:v>
      </x:c>
      <x:c r="D108" t="n">
        <x:v>3001.55</x:v>
      </x:c>
      <x:c r="E108" t="n">
        <x:v>27503</x:v>
      </x:c>
      <x:c r="F108" t="n">
        <x:v>428</x:v>
      </x:c>
      <x:c r="G108" t="n">
        <x:v>31</x:v>
      </x:c>
      <x:c r="H108" t="n">
        <x:v>9</x:v>
      </x:c>
      <x:c r="I108" t="n">
        <x:v>4</x:v>
      </x:c>
      <x:c r="J108" t="n">
        <x:v>7323.99</x:v>
      </x:c>
    </x:row>
    <x:row r="109">
      <x:c r="A109" t="str">
        <x:v>2026-05-06</x:v>
      </x:c>
      <x:c r="B109" t="str">
        <x:v>Paid Social</x:v>
      </x:c>
      <x:c r="C109" t="str">
        <x:v>Retargeting</x:v>
      </x:c>
      <x:c r="D109" t="n">
        <x:v>681.27</x:v>
      </x:c>
      <x:c r="E109" t="n">
        <x:v>10701</x:v>
      </x:c>
      <x:c r="F109" t="n">
        <x:v>628</x:v>
      </x:c>
      <x:c r="G109" t="n">
        <x:v>64</x:v>
      </x:c>
      <x:c r="H109" t="n">
        <x:v>10</x:v>
      </x:c>
      <x:c r="I109" t="n">
        <x:v>5</x:v>
      </x:c>
      <x:c r="J109" t="n">
        <x:v>17248.96</x:v>
      </x:c>
    </x:row>
    <x:row r="110">
      <x:c r="A110" t="str">
        <x:v>2026-07-02</x:v>
      </x:c>
      <x:c r="B110" t="str">
        <x:v>Affiliate</x:v>
      </x:c>
      <x:c r="C110" t="str">
        <x:v>Summer Sale</x:v>
      </x:c>
      <x:c r="D110" t="n">
        <x:v>2633.23</x:v>
      </x:c>
      <x:c r="E110" t="n">
        <x:v>117274</x:v>
      </x:c>
      <x:c r="F110" t="n">
        <x:v>2292</x:v>
      </x:c>
      <x:c r="G110" t="n">
        <x:v>207</x:v>
      </x:c>
      <x:c r="H110" t="n">
        <x:v>83</x:v>
      </x:c>
      <x:c r="I110" t="n">
        <x:v>40</x:v>
      </x:c>
      <x:c r="J110" t="n">
        <x:v>90448.01</x:v>
      </x:c>
    </x:row>
    <x:row r="111">
      <x:c r="A111" t="str">
        <x:v>2026-02-25</x:v>
      </x:c>
      <x:c r="B111" t="str">
        <x:v>Paid Search</x:v>
      </x:c>
      <x:c r="C111" t="str">
        <x:v>New Product</x:v>
      </x:c>
      <x:c r="D111" t="n">
        <x:v>3766.49</x:v>
      </x:c>
      <x:c r="E111" t="n">
        <x:v>25510</x:v>
      </x:c>
      <x:c r="F111" t="n">
        <x:v>712</x:v>
      </x:c>
      <x:c r="G111" t="n">
        <x:v>34</x:v>
      </x:c>
      <x:c r="H111" t="n">
        <x:v>7</x:v>
      </x:c>
      <x:c r="I111" t="n">
        <x:v>3</x:v>
      </x:c>
      <x:c r="J111" t="n">
        <x:v>19212.93</x:v>
      </x:c>
    </x:row>
    <x:row r="112">
      <x:c r="A112" t="str">
        <x:v>2026-01-11</x:v>
      </x:c>
      <x:c r="B112" t="str">
        <x:v>Affiliate</x:v>
      </x:c>
      <x:c r="C112" t="str">
        <x:v>Brand</x:v>
      </x:c>
      <x:c r="D112" t="n">
        <x:v>2738.01</x:v>
      </x:c>
      <x:c r="E112" t="n">
        <x:v>47493</x:v>
      </x:c>
      <x:c r="F112" t="n">
        <x:v>670</x:v>
      </x:c>
      <x:c r="G112" t="n">
        <x:v>80</x:v>
      </x:c>
      <x:c r="H112" t="n">
        <x:v>25</x:v>
      </x:c>
      <x:c r="I112" t="n">
        <x:v>10</x:v>
      </x:c>
      <x:c r="J112" t="n">
        <x:v>29760.42</x:v>
      </x:c>
    </x:row>
    <x:row r="113">
      <x:c r="A113" t="str">
        <x:v>2026-04-18</x:v>
      </x:c>
      <x:c r="B113" t="str">
        <x:v>Email</x:v>
      </x:c>
      <x:c r="C113" t="str">
        <x:v>Loyalty</x:v>
      </x:c>
      <x:c r="D113" t="n">
        <x:v>1147.18</x:v>
      </x:c>
      <x:c r="E113" t="n">
        <x:v>56014</x:v>
      </x:c>
      <x:c r="F113" t="n">
        <x:v>2367</x:v>
      </x:c>
      <x:c r="G113" t="n">
        <x:v>229</x:v>
      </x:c>
      <x:c r="H113" t="n">
        <x:v>64</x:v>
      </x:c>
      <x:c r="I113" t="n">
        <x:v>13</x:v>
      </x:c>
      <x:c r="J113" t="n">
        <x:v>62264.45</x:v>
      </x:c>
    </x:row>
    <x:row r="114">
      <x:c r="A114" t="str">
        <x:v>2026-05-06</x:v>
      </x:c>
      <x:c r="B114" t="str">
        <x:v>Organic</x:v>
      </x:c>
      <x:c r="C114" t="str">
        <x:v>Summer Sale</x:v>
      </x:c>
      <x:c r="D114" t="n">
        <x:v>1897.91</x:v>
      </x:c>
      <x:c r="E114" t="n">
        <x:v>86077</x:v>
      </x:c>
      <x:c r="F114" t="n">
        <x:v>4179</x:v>
      </x:c>
      <x:c r="G114" t="n">
        <x:v>412</x:v>
      </x:c>
      <x:c r="H114" t="n">
        <x:v>83</x:v>
      </x:c>
      <x:c r="I114" t="n">
        <x:v>30</x:v>
      </x:c>
      <x:c r="J114" t="n">
        <x:v>54631.24</x:v>
      </x:c>
    </x:row>
    <x:row r="115">
      <x:c r="A115" t="str">
        <x:v>2026-02-02</x:v>
      </x:c>
      <x:c r="B115" t="str">
        <x:v>Email</x:v>
      </x:c>
      <x:c r="C115" t="str">
        <x:v>New Product</x:v>
      </x:c>
      <x:c r="D115" t="n">
        <x:v>1588.26</x:v>
      </x:c>
      <x:c r="E115" t="n">
        <x:v>110156</x:v>
      </x:c>
      <x:c r="F115" t="n">
        <x:v>3412</x:v>
      </x:c>
      <x:c r="G115" t="n">
        <x:v>363</x:v>
      </x:c>
      <x:c r="H115" t="n">
        <x:v>58</x:v>
      </x:c>
      <x:c r="I115" t="n">
        <x:v>24</x:v>
      </x:c>
      <x:c r="J115" t="n">
        <x:v>40247.95</x:v>
      </x:c>
    </x:row>
    <x:row r="116">
      <x:c r="A116" t="str">
        <x:v>2026-07-07</x:v>
      </x:c>
      <x:c r="B116" t="str">
        <x:v>Email</x:v>
      </x:c>
      <x:c r="C116" t="str">
        <x:v>Loyalty</x:v>
      </x:c>
      <x:c r="D116" t="n">
        <x:v>503.88</x:v>
      </x:c>
      <x:c r="E116" t="n">
        <x:v>103573</x:v>
      </x:c>
      <x:c r="F116" t="n">
        <x:v>3542</x:v>
      </x:c>
      <x:c r="G116" t="n">
        <x:v>307</x:v>
      </x:c>
      <x:c r="H116" t="n">
        <x:v>133</x:v>
      </x:c>
      <x:c r="I116" t="n">
        <x:v>32</x:v>
      </x:c>
      <x:c r="J116" t="n">
        <x:v>197472.21</x:v>
      </x:c>
    </x:row>
    <x:row r="117">
      <x:c r="A117" t="str">
        <x:v>2026-06-07</x:v>
      </x:c>
      <x:c r="B117" t="str">
        <x:v>Paid Search</x:v>
      </x:c>
      <x:c r="C117" t="str">
        <x:v>Summer Sale</x:v>
      </x:c>
      <x:c r="D117" t="n">
        <x:v>700.15</x:v>
      </x:c>
      <x:c r="E117" t="n">
        <x:v>69470</x:v>
      </x:c>
      <x:c r="F117" t="n">
        <x:v>1595</x:v>
      </x:c>
      <x:c r="G117" t="n">
        <x:v>241</x:v>
      </x:c>
      <x:c r="H117" t="n">
        <x:v>93</x:v>
      </x:c>
      <x:c r="I117" t="n">
        <x:v>40</x:v>
      </x:c>
      <x:c r="J117" t="n">
        <x:v>215290.4</x:v>
      </x:c>
    </x:row>
    <x:row r="118">
      <x:c r="A118" t="str">
        <x:v>2026-02-26</x:v>
      </x:c>
      <x:c r="B118" t="str">
        <x:v>Paid Search</x:v>
      </x:c>
      <x:c r="C118" t="str">
        <x:v>Retargeting</x:v>
      </x:c>
      <x:c r="D118" t="n">
        <x:v>2519.69</x:v>
      </x:c>
      <x:c r="E118" t="n">
        <x:v>38059</x:v>
      </x:c>
      <x:c r="F118" t="n">
        <x:v>618</x:v>
      </x:c>
      <x:c r="G118" t="n">
        <x:v>101</x:v>
      </x:c>
      <x:c r="H118" t="n">
        <x:v>23</x:v>
      </x:c>
      <x:c r="I118" t="n">
        <x:v>11</x:v>
      </x:c>
      <x:c r="J118" t="n">
        <x:v>22359.91</x:v>
      </x:c>
    </x:row>
    <x:row r="119">
      <x:c r="A119" t="str">
        <x:v>2026-05-09</x:v>
      </x:c>
      <x:c r="B119" t="str">
        <x:v>Organic</x:v>
      </x:c>
      <x:c r="C119" t="str">
        <x:v>Summer Sale</x:v>
      </x:c>
      <x:c r="D119" t="n">
        <x:v>2449.17</x:v>
      </x:c>
      <x:c r="E119" t="n">
        <x:v>85722</x:v>
      </x:c>
      <x:c r="F119" t="n">
        <x:v>2941</x:v>
      </x:c>
      <x:c r="G119" t="n">
        <x:v>228</x:v>
      </x:c>
      <x:c r="H119" t="n">
        <x:v>36</x:v>
      </x:c>
      <x:c r="I119" t="n">
        <x:v>9</x:v>
      </x:c>
      <x:c r="J119" t="n">
        <x:v>19216.17</x:v>
      </x:c>
    </x:row>
    <x:row r="120">
      <x:c r="A120" t="str">
        <x:v>2026-03-13</x:v>
      </x:c>
      <x:c r="B120" t="str">
        <x:v>Email</x:v>
      </x:c>
      <x:c r="C120" t="str">
        <x:v>New Product</x:v>
      </x:c>
      <x:c r="D120" t="n">
        <x:v>841.22</x:v>
      </x:c>
      <x:c r="E120" t="n">
        <x:v>107874</x:v>
      </x:c>
      <x:c r="F120" t="n">
        <x:v>2345</x:v>
      </x:c>
      <x:c r="G120" t="n">
        <x:v>340</x:v>
      </x:c>
      <x:c r="H120" t="n">
        <x:v>55</x:v>
      </x:c>
      <x:c r="I120" t="n">
        <x:v>27</x:v>
      </x:c>
      <x:c r="J120" t="n">
        <x:v>183699.86</x:v>
      </x:c>
    </x:row>
    <x:row r="121">
      <x:c r="A121" t="str">
        <x:v>2026-04-26</x:v>
      </x:c>
      <x:c r="B121" t="str">
        <x:v>Affiliate</x:v>
      </x:c>
      <x:c r="C121" t="str">
        <x:v>Loyalty</x:v>
      </x:c>
      <x:c r="D121" t="n">
        <x:v>2404.17</x:v>
      </x:c>
      <x:c r="E121" t="n">
        <x:v>18711</x:v>
      </x:c>
      <x:c r="F121" t="n">
        <x:v>394</x:v>
      </x:c>
      <x:c r="G121" t="n">
        <x:v>43</x:v>
      </x:c>
      <x:c r="H121" t="n">
        <x:v>17</x:v>
      </x:c>
      <x:c r="I121" t="n">
        <x:v>7</x:v>
      </x:c>
      <x:c r="J121" t="n">
        <x:v>23481.53</x:v>
      </x:c>
    </x:row>
    <x:row r="122">
      <x:c r="A122" t="str">
        <x:v>2026-04-07</x:v>
      </x:c>
      <x:c r="B122" t="str">
        <x:v>Email</x:v>
      </x:c>
      <x:c r="C122" t="str">
        <x:v>Loyalty</x:v>
      </x:c>
      <x:c r="D122" t="n">
        <x:v>755.54</x:v>
      </x:c>
      <x:c r="E122" t="n">
        <x:v>48362</x:v>
      </x:c>
      <x:c r="F122" t="n">
        <x:v>2309</x:v>
      </x:c>
      <x:c r="G122" t="n">
        <x:v>222</x:v>
      </x:c>
      <x:c r="H122" t="n">
        <x:v>45</x:v>
      </x:c>
      <x:c r="I122" t="n">
        <x:v>20</x:v>
      </x:c>
      <x:c r="J122" t="n">
        <x:v>29601.81</x:v>
      </x:c>
    </x:row>
    <x:row r="123">
      <x:c r="A123" t="str">
        <x:v>2026-07-29</x:v>
      </x:c>
      <x:c r="B123" t="str">
        <x:v>Affiliate</x:v>
      </x:c>
      <x:c r="C123" t="str">
        <x:v>Retargeting</x:v>
      </x:c>
      <x:c r="D123" t="n">
        <x:v>1378.28</x:v>
      </x:c>
      <x:c r="E123" t="n">
        <x:v>119071</x:v>
      </x:c>
      <x:c r="F123" t="n">
        <x:v>4580</x:v>
      </x:c>
      <x:c r="G123" t="n">
        <x:v>593</x:v>
      </x:c>
      <x:c r="H123" t="n">
        <x:v>144</x:v>
      </x:c>
      <x:c r="I123" t="n">
        <x:v>28</x:v>
      </x:c>
      <x:c r="J123" t="n">
        <x:v>39088.01</x:v>
      </x:c>
    </x:row>
    <x:row r="124">
      <x:c r="A124" t="str">
        <x:v>2026-02-08</x:v>
      </x:c>
      <x:c r="B124" t="str">
        <x:v>Email</x:v>
      </x:c>
      <x:c r="C124" t="str">
        <x:v>Loyalty</x:v>
      </x:c>
      <x:c r="D124" t="n">
        <x:v>2577.35</x:v>
      </x:c>
      <x:c r="E124" t="n">
        <x:v>59747</x:v>
      </x:c>
      <x:c r="F124" t="n">
        <x:v>2070</x:v>
      </x:c>
      <x:c r="G124" t="n">
        <x:v>340</x:v>
      </x:c>
      <x:c r="H124" t="n">
        <x:v>64</x:v>
      </x:c>
      <x:c r="I124" t="n">
        <x:v>17</x:v>
      </x:c>
      <x:c r="J124" t="n">
        <x:v>84796.49</x:v>
      </x:c>
    </x:row>
    <x:row r="125">
      <x:c r="A125" t="str">
        <x:v>2026-01-06</x:v>
      </x:c>
      <x:c r="B125" t="str">
        <x:v>Paid Search</x:v>
      </x:c>
      <x:c r="C125" t="str">
        <x:v>Brand</x:v>
      </x:c>
      <x:c r="D125" t="n">
        <x:v>2355.06</x:v>
      </x:c>
      <x:c r="E125" t="n">
        <x:v>44811</x:v>
      </x:c>
      <x:c r="F125" t="n">
        <x:v>606</x:v>
      </x:c>
      <x:c r="G125" t="n">
        <x:v>50</x:v>
      </x:c>
      <x:c r="H125" t="n">
        <x:v>10</x:v>
      </x:c>
      <x:c r="I125" t="n">
        <x:v>4</x:v>
      </x:c>
      <x:c r="J125" t="n">
        <x:v>18466.93</x:v>
      </x:c>
    </x:row>
    <x:row r="126">
      <x:c r="A126" t="str">
        <x:v>2026-02-22</x:v>
      </x:c>
      <x:c r="B126" t="str">
        <x:v>Email</x:v>
      </x:c>
      <x:c r="C126" t="str">
        <x:v>Loyalty</x:v>
      </x:c>
      <x:c r="D126" t="n">
        <x:v>3348.19</x:v>
      </x:c>
      <x:c r="E126" t="n">
        <x:v>25791</x:v>
      </x:c>
      <x:c r="F126" t="n">
        <x:v>387</x:v>
      </x:c>
      <x:c r="G126" t="n">
        <x:v>65</x:v>
      </x:c>
      <x:c r="H126" t="n">
        <x:v>14</x:v>
      </x:c>
      <x:c r="I126" t="n">
        <x:v>3</x:v>
      </x:c>
      <x:c r="J126" t="n">
        <x:v>5267</x:v>
      </x:c>
    </x:row>
    <x:row r="127">
      <x:c r="A127" t="str">
        <x:v>2026-06-13</x:v>
      </x:c>
      <x:c r="B127" t="str">
        <x:v>Paid Social</x:v>
      </x:c>
      <x:c r="C127" t="str">
        <x:v>Retargeting</x:v>
      </x:c>
      <x:c r="D127" t="n">
        <x:v>1727.42</x:v>
      </x:c>
      <x:c r="E127" t="n">
        <x:v>39634</x:v>
      </x:c>
      <x:c r="F127" t="n">
        <x:v>2310</x:v>
      </x:c>
      <x:c r="G127" t="n">
        <x:v>88</x:v>
      </x:c>
      <x:c r="H127" t="n">
        <x:v>34</x:v>
      </x:c>
      <x:c r="I127" t="n">
        <x:v>17</x:v>
      </x:c>
      <x:c r="J127" t="n">
        <x:v>79039.81</x:v>
      </x:c>
    </x:row>
    <x:row r="128">
      <x:c r="A128" t="str">
        <x:v>2026-05-29</x:v>
      </x:c>
      <x:c r="B128" t="str">
        <x:v>Organic</x:v>
      </x:c>
      <x:c r="C128" t="str">
        <x:v>Loyalty</x:v>
      </x:c>
      <x:c r="D128" t="n">
        <x:v>3761.2</x:v>
      </x:c>
      <x:c r="E128" t="n">
        <x:v>101144</x:v>
      </x:c>
      <x:c r="F128" t="n">
        <x:v>3401</x:v>
      </x:c>
      <x:c r="G128" t="n">
        <x:v>186</x:v>
      </x:c>
      <x:c r="H128" t="n">
        <x:v>27</x:v>
      </x:c>
      <x:c r="I128" t="n">
        <x:v>5</x:v>
      </x:c>
      <x:c r="J128" t="n">
        <x:v>6731.53</x:v>
      </x:c>
    </x:row>
    <x:row r="129">
      <x:c r="A129" t="str">
        <x:v>2026-02-17</x:v>
      </x:c>
      <x:c r="B129" t="str">
        <x:v>Paid Social</x:v>
      </x:c>
      <x:c r="C129" t="str">
        <x:v>Summer Sale</x:v>
      </x:c>
      <x:c r="D129" t="n">
        <x:v>421.84</x:v>
      </x:c>
      <x:c r="E129" t="n">
        <x:v>107088</x:v>
      </x:c>
      <x:c r="F129" t="n">
        <x:v>1440</x:v>
      </x:c>
      <x:c r="G129" t="n">
        <x:v>175</x:v>
      </x:c>
      <x:c r="H129" t="n">
        <x:v>60</x:v>
      </x:c>
      <x:c r="I129" t="n">
        <x:v>16</x:v>
      </x:c>
      <x:c r="J129" t="n">
        <x:v>57542.94</x:v>
      </x:c>
    </x:row>
    <x:row r="130">
      <x:c r="A130" t="str">
        <x:v>2026-05-13</x:v>
      </x:c>
      <x:c r="B130" t="str">
        <x:v>Affiliate</x:v>
      </x:c>
      <x:c r="C130" t="str">
        <x:v>Loyalty</x:v>
      </x:c>
      <x:c r="D130" t="n">
        <x:v>2660.87</x:v>
      </x:c>
      <x:c r="E130" t="n">
        <x:v>59426</x:v>
      </x:c>
      <x:c r="F130" t="n">
        <x:v>2988</x:v>
      </x:c>
      <x:c r="G130" t="n">
        <x:v>167</x:v>
      </x:c>
      <x:c r="H130" t="n">
        <x:v>40</x:v>
      </x:c>
      <x:c r="I130" t="n">
        <x:v>12</x:v>
      </x:c>
      <x:c r="J130" t="n">
        <x:v>17774.96</x:v>
      </x:c>
    </x:row>
    <x:row r="131">
      <x:c r="A131" t="str">
        <x:v>2026-07-05</x:v>
      </x:c>
      <x:c r="B131" t="str">
        <x:v>Organic</x:v>
      </x:c>
      <x:c r="C131" t="str">
        <x:v>Loyalty</x:v>
      </x:c>
      <x:c r="D131" t="n">
        <x:v>224.13</x:v>
      </x:c>
      <x:c r="E131" t="n">
        <x:v>115681</x:v>
      </x:c>
      <x:c r="F131" t="n">
        <x:v>3552</x:v>
      </x:c>
      <x:c r="G131" t="n">
        <x:v>592</x:v>
      </x:c>
      <x:c r="H131" t="n">
        <x:v>103</x:v>
      </x:c>
      <x:c r="I131" t="n">
        <x:v>44</x:v>
      </x:c>
      <x:c r="J131" t="n">
        <x:v>97559.97</x:v>
      </x:c>
    </x:row>
    <x:row r="132">
      <x:c r="A132" t="str">
        <x:v>2026-01-27</x:v>
      </x:c>
      <x:c r="B132" t="str">
        <x:v>Email</x:v>
      </x:c>
      <x:c r="C132" t="str">
        <x:v>Summer Sale</x:v>
      </x:c>
      <x:c r="D132" t="n">
        <x:v>2647.28</x:v>
      </x:c>
      <x:c r="E132" t="n">
        <x:v>21156</x:v>
      </x:c>
      <x:c r="F132" t="n">
        <x:v>538</x:v>
      </x:c>
      <x:c r="G132" t="n">
        <x:v>76</x:v>
      </x:c>
      <x:c r="H132" t="n">
        <x:v>27</x:v>
      </x:c>
      <x:c r="I132" t="n">
        <x:v>13</x:v>
      </x:c>
      <x:c r="J132" t="n">
        <x:v>69260.99</x:v>
      </x:c>
    </x:row>
    <x:row r="133">
      <x:c r="A133" t="str">
        <x:v>2026-03-10</x:v>
      </x:c>
      <x:c r="B133" t="str">
        <x:v>Affiliate</x:v>
      </x:c>
      <x:c r="C133" t="str">
        <x:v>New Product</x:v>
      </x:c>
      <x:c r="D133" t="n">
        <x:v>2805.79</x:v>
      </x:c>
      <x:c r="E133" t="n">
        <x:v>73582</x:v>
      </x:c>
      <x:c r="F133" t="n">
        <x:v>4307</x:v>
      </x:c>
      <x:c r="G133" t="n">
        <x:v>320</x:v>
      </x:c>
      <x:c r="H133" t="n">
        <x:v>137</x:v>
      </x:c>
      <x:c r="I133" t="n">
        <x:v>70</x:v>
      </x:c>
      <x:c r="J133" t="n">
        <x:v>118680.97</x:v>
      </x:c>
    </x:row>
    <x:row r="134">
      <x:c r="A134" t="str">
        <x:v>2026-05-10</x:v>
      </x:c>
      <x:c r="B134" t="str">
        <x:v>Paid Search</x:v>
      </x:c>
      <x:c r="C134" t="str">
        <x:v>Summer Sale</x:v>
      </x:c>
      <x:c r="D134" t="n">
        <x:v>1189.4</x:v>
      </x:c>
      <x:c r="E134" t="n">
        <x:v>35947</x:v>
      </x:c>
      <x:c r="F134" t="n">
        <x:v>1860</x:v>
      </x:c>
      <x:c r="G134" t="n">
        <x:v>112</x:v>
      </x:c>
      <x:c r="H134" t="n">
        <x:v>22</x:v>
      </x:c>
      <x:c r="I134" t="n">
        <x:v>11</x:v>
      </x:c>
      <x:c r="J134" t="n">
        <x:v>25445.58</x:v>
      </x:c>
    </x:row>
    <x:row r="135">
      <x:c r="A135" t="str">
        <x:v>2026-04-10</x:v>
      </x:c>
      <x:c r="B135" t="str">
        <x:v>Email</x:v>
      </x:c>
      <x:c r="C135" t="str">
        <x:v>Loyalty</x:v>
      </x:c>
      <x:c r="D135" t="n">
        <x:v>1108.84</x:v>
      </x:c>
      <x:c r="E135" t="n">
        <x:v>116663</x:v>
      </x:c>
      <x:c r="F135" t="n">
        <x:v>4759</x:v>
      </x:c>
      <x:c r="G135" t="n">
        <x:v>637</x:v>
      </x:c>
      <x:c r="H135" t="n">
        <x:v>222</x:v>
      </x:c>
      <x:c r="I135" t="n">
        <x:v>120</x:v>
      </x:c>
      <x:c r="J135" t="n">
        <x:v>470767.09</x:v>
      </x:c>
    </x:row>
    <x:row r="136">
      <x:c r="A136" t="str">
        <x:v>2026-05-16</x:v>
      </x:c>
      <x:c r="B136" t="str">
        <x:v>Paid Search</x:v>
      </x:c>
      <x:c r="C136" t="str">
        <x:v>Brand</x:v>
      </x:c>
      <x:c r="D136" t="n">
        <x:v>1861.41</x:v>
      </x:c>
      <x:c r="E136" t="n">
        <x:v>99977</x:v>
      </x:c>
      <x:c r="F136" t="n">
        <x:v>2015</x:v>
      </x:c>
      <x:c r="G136" t="n">
        <x:v>327</x:v>
      </x:c>
      <x:c r="H136" t="n">
        <x:v>126</x:v>
      </x:c>
      <x:c r="I136" t="n">
        <x:v>42</x:v>
      </x:c>
      <x:c r="J136" t="n">
        <x:v>192986.95</x:v>
      </x:c>
    </x:row>
    <x:row r="137">
      <x:c r="A137" t="str">
        <x:v>2026-05-25</x:v>
      </x:c>
      <x:c r="B137" t="str">
        <x:v>Paid Social</x:v>
      </x:c>
      <x:c r="C137" t="str">
        <x:v>Summer Sale</x:v>
      </x:c>
      <x:c r="D137" t="n">
        <x:v>325.07</x:v>
      </x:c>
      <x:c r="E137" t="n">
        <x:v>19666</x:v>
      </x:c>
      <x:c r="F137" t="n">
        <x:v>266</x:v>
      </x:c>
      <x:c r="G137" t="n">
        <x:v>45</x:v>
      </x:c>
      <x:c r="H137" t="n">
        <x:v>11</x:v>
      </x:c>
      <x:c r="I137" t="n">
        <x:v>2</x:v>
      </x:c>
      <x:c r="J137" t="n">
        <x:v>2733.3</x:v>
      </x:c>
    </x:row>
    <x:row r="138">
      <x:c r="A138" t="str">
        <x:v>2026-01-11</x:v>
      </x:c>
      <x:c r="B138" t="str">
        <x:v>Paid Social</x:v>
      </x:c>
      <x:c r="C138" t="str">
        <x:v>Brand</x:v>
      </x:c>
      <x:c r="D138" t="n">
        <x:v>2848.63</x:v>
      </x:c>
      <x:c r="E138" t="n">
        <x:v>101571</x:v>
      </x:c>
      <x:c r="F138" t="n">
        <x:v>1059</x:v>
      </x:c>
      <x:c r="G138" t="n">
        <x:v>167</x:v>
      </x:c>
      <x:c r="H138" t="n">
        <x:v>63</x:v>
      </x:c>
      <x:c r="I138" t="n">
        <x:v>16</x:v>
      </x:c>
      <x:c r="J138" t="n">
        <x:v>107784.07</x:v>
      </x:c>
    </x:row>
    <x:row r="139">
      <x:c r="A139" t="str">
        <x:v>2026-05-17</x:v>
      </x:c>
      <x:c r="B139" t="str">
        <x:v>Paid Search</x:v>
      </x:c>
      <x:c r="C139" t="str">
        <x:v>New Product</x:v>
      </x:c>
      <x:c r="D139" t="n">
        <x:v>607.04</x:v>
      </x:c>
      <x:c r="E139" t="n">
        <x:v>31964</x:v>
      </x:c>
      <x:c r="F139" t="n">
        <x:v>593</x:v>
      </x:c>
      <x:c r="G139" t="n">
        <x:v>20</x:v>
      </x:c>
      <x:c r="H139" t="n">
        <x:v>8</x:v>
      </x:c>
      <x:c r="I139" t="n">
        <x:v>4</x:v>
      </x:c>
      <x:c r="J139" t="n">
        <x:v>22287.13</x:v>
      </x:c>
    </x:row>
    <x:row r="140">
      <x:c r="A140" t="str">
        <x:v>2026-01-23</x:v>
      </x:c>
      <x:c r="B140" t="str">
        <x:v>Email</x:v>
      </x:c>
      <x:c r="C140" t="str">
        <x:v>New Product</x:v>
      </x:c>
      <x:c r="D140" t="n">
        <x:v>579.53</x:v>
      </x:c>
      <x:c r="E140" t="n">
        <x:v>17826</x:v>
      </x:c>
      <x:c r="F140" t="n">
        <x:v>876</x:v>
      </x:c>
      <x:c r="G140" t="n">
        <x:v>111</x:v>
      </x:c>
      <x:c r="H140" t="n">
        <x:v>26</x:v>
      </x:c>
      <x:c r="I140" t="n">
        <x:v>8</x:v>
      </x:c>
      <x:c r="J140" t="n">
        <x:v>21717.81</x:v>
      </x:c>
    </x:row>
    <x:row r="141">
      <x:c r="A141" t="str">
        <x:v>2026-03-31</x:v>
      </x:c>
      <x:c r="B141" t="str">
        <x:v>Email</x:v>
      </x:c>
      <x:c r="C141" t="str">
        <x:v>Retargeting</x:v>
      </x:c>
      <x:c r="D141" t="n">
        <x:v>383.95</x:v>
      </x:c>
      <x:c r="E141" t="n">
        <x:v>104595</x:v>
      </x:c>
      <x:c r="F141" t="n">
        <x:v>2838</x:v>
      </x:c>
      <x:c r="G141" t="n">
        <x:v>221</x:v>
      </x:c>
      <x:c r="H141" t="n">
        <x:v>97</x:v>
      </x:c>
      <x:c r="I141" t="n">
        <x:v>36</x:v>
      </x:c>
      <x:c r="J141" t="n">
        <x:v>220967.59</x:v>
      </x:c>
    </x:row>
    <x:row r="142">
      <x:c r="A142" t="str">
        <x:v>2026-06-08</x:v>
      </x:c>
      <x:c r="B142" t="str">
        <x:v>Paid Search</x:v>
      </x:c>
      <x:c r="C142" t="str">
        <x:v>New Product</x:v>
      </x:c>
      <x:c r="D142" t="n">
        <x:v>318.74</x:v>
      </x:c>
      <x:c r="E142" t="n">
        <x:v>72976</x:v>
      </x:c>
      <x:c r="F142" t="n">
        <x:v>3517</x:v>
      </x:c>
      <x:c r="G142" t="n">
        <x:v>288</x:v>
      </x:c>
      <x:c r="H142" t="n">
        <x:v>104</x:v>
      </x:c>
      <x:c r="I142" t="n">
        <x:v>40</x:v>
      </x:c>
      <x:c r="J142" t="n">
        <x:v>98245.23</x:v>
      </x:c>
    </x:row>
    <x:row r="143">
      <x:c r="A143" t="str">
        <x:v>2026-01-24</x:v>
      </x:c>
      <x:c r="B143" t="str">
        <x:v>Affiliate</x:v>
      </x:c>
      <x:c r="C143" t="str">
        <x:v>Retargeting</x:v>
      </x:c>
      <x:c r="D143" t="n">
        <x:v>847.41</x:v>
      </x:c>
      <x:c r="E143" t="n">
        <x:v>5170</x:v>
      </x:c>
      <x:c r="F143" t="n">
        <x:v>182</x:v>
      </x:c>
      <x:c r="G143" t="n">
        <x:v>13</x:v>
      </x:c>
      <x:c r="H143" t="n">
        <x:v>4</x:v>
      </x:c>
      <x:c r="I143" t="n">
        <x:v>0</x:v>
      </x:c>
      <x:c r="J143" t="n">
        <x:v>0</x:v>
      </x:c>
    </x:row>
    <x:row r="144">
      <x:c r="A144" t="str">
        <x:v>2026-01-25</x:v>
      </x:c>
      <x:c r="B144" t="str">
        <x:v>Organic</x:v>
      </x:c>
      <x:c r="C144" t="str">
        <x:v>Summer Sale</x:v>
      </x:c>
      <x:c r="D144" t="n">
        <x:v>3875.19</x:v>
      </x:c>
      <x:c r="E144" t="n">
        <x:v>82667</x:v>
      </x:c>
      <x:c r="F144" t="n">
        <x:v>2153</x:v>
      </x:c>
      <x:c r="G144" t="n">
        <x:v>333</x:v>
      </x:c>
      <x:c r="H144" t="n">
        <x:v>75</x:v>
      </x:c>
      <x:c r="I144" t="n">
        <x:v>39</x:v>
      </x:c>
      <x:c r="J144" t="n">
        <x:v>110979.67</x:v>
      </x:c>
    </x:row>
    <x:row r="145">
      <x:c r="A145" t="str">
        <x:v>2026-02-24</x:v>
      </x:c>
      <x:c r="B145" t="str">
        <x:v>Paid Social</x:v>
      </x:c>
      <x:c r="C145" t="str">
        <x:v>New Product</x:v>
      </x:c>
      <x:c r="D145" t="n">
        <x:v>830.01</x:v>
      </x:c>
      <x:c r="E145" t="n">
        <x:v>88431</x:v>
      </x:c>
      <x:c r="F145" t="n">
        <x:v>4233</x:v>
      </x:c>
      <x:c r="G145" t="n">
        <x:v>438</x:v>
      </x:c>
      <x:c r="H145" t="n">
        <x:v>195</x:v>
      </x:c>
      <x:c r="I145" t="n">
        <x:v>77</x:v>
      </x:c>
      <x:c r="J145" t="n">
        <x:v>139095.56</x:v>
      </x:c>
    </x:row>
    <x:row r="146">
      <x:c r="A146" t="str">
        <x:v>2026-03-25</x:v>
      </x:c>
      <x:c r="B146" t="str">
        <x:v>Email</x:v>
      </x:c>
      <x:c r="C146" t="str">
        <x:v>Brand</x:v>
      </x:c>
      <x:c r="D146" t="n">
        <x:v>1724.83</x:v>
      </x:c>
      <x:c r="E146" t="n">
        <x:v>56720</x:v>
      </x:c>
      <x:c r="F146" t="n">
        <x:v>3084</x:v>
      </x:c>
      <x:c r="G146" t="n">
        <x:v>437</x:v>
      </x:c>
      <x:c r="H146" t="n">
        <x:v>120</x:v>
      </x:c>
      <x:c r="I146" t="n">
        <x:v>51</x:v>
      </x:c>
      <x:c r="J146" t="n">
        <x:v>171222.81</x:v>
      </x:c>
    </x:row>
    <x:row r="147">
      <x:c r="A147" t="str">
        <x:v>2026-03-19</x:v>
      </x:c>
      <x:c r="B147" t="str">
        <x:v>Email</x:v>
      </x:c>
      <x:c r="C147" t="str">
        <x:v>New Product</x:v>
      </x:c>
      <x:c r="D147" t="n">
        <x:v>3624.62</x:v>
      </x:c>
      <x:c r="E147" t="n">
        <x:v>70691</x:v>
      </x:c>
      <x:c r="F147" t="n">
        <x:v>1194</x:v>
      </x:c>
      <x:c r="G147" t="n">
        <x:v>211</x:v>
      </x:c>
      <x:c r="H147" t="n">
        <x:v>71</x:v>
      </x:c>
      <x:c r="I147" t="n">
        <x:v>37</x:v>
      </x:c>
      <x:c r="J147" t="n">
        <x:v>71628.56</x:v>
      </x:c>
    </x:row>
    <x:row r="148">
      <x:c r="A148" t="str">
        <x:v>2026-06-02</x:v>
      </x:c>
      <x:c r="B148" t="str">
        <x:v>Affiliate</x:v>
      </x:c>
      <x:c r="C148" t="str">
        <x:v>Brand</x:v>
      </x:c>
      <x:c r="D148" t="n">
        <x:v>1524.24</x:v>
      </x:c>
      <x:c r="E148" t="n">
        <x:v>47816</x:v>
      </x:c>
      <x:c r="F148" t="n">
        <x:v>1679</x:v>
      </x:c>
      <x:c r="G148" t="n">
        <x:v>268</x:v>
      </x:c>
      <x:c r="H148" t="n">
        <x:v>76</x:v>
      </x:c>
      <x:c r="I148" t="n">
        <x:v>29</x:v>
      </x:c>
      <x:c r="J148" t="n">
        <x:v>89184.76</x:v>
      </x:c>
    </x:row>
    <x:row r="149">
      <x:c r="A149" t="str">
        <x:v>2026-04-29</x:v>
      </x:c>
      <x:c r="B149" t="str">
        <x:v>Organic</x:v>
      </x:c>
      <x:c r="C149" t="str">
        <x:v>Retargeting</x:v>
      </x:c>
      <x:c r="D149" t="n">
        <x:v>2400.85</x:v>
      </x:c>
      <x:c r="E149" t="n">
        <x:v>21522</x:v>
      </x:c>
      <x:c r="F149" t="n">
        <x:v>546</x:v>
      </x:c>
      <x:c r="G149" t="n">
        <x:v>69</x:v>
      </x:c>
      <x:c r="H149" t="n">
        <x:v>24</x:v>
      </x:c>
      <x:c r="I149" t="n">
        <x:v>9</x:v>
      </x:c>
      <x:c r="J149" t="n">
        <x:v>24762.6</x:v>
      </x:c>
    </x:row>
    <x:row r="150">
      <x:c r="A150" t="str">
        <x:v>2026-07-13</x:v>
      </x:c>
      <x:c r="B150" t="str">
        <x:v>Affiliate</x:v>
      </x:c>
      <x:c r="C150" t="str">
        <x:v>Summer Sale</x:v>
      </x:c>
      <x:c r="D150" t="n">
        <x:v>2948.68</x:v>
      </x:c>
      <x:c r="E150" t="n">
        <x:v>37450</x:v>
      </x:c>
      <x:c r="F150" t="n">
        <x:v>1707</x:v>
      </x:c>
      <x:c r="G150" t="n">
        <x:v>205</x:v>
      </x:c>
      <x:c r="H150" t="n">
        <x:v>52</x:v>
      </x:c>
      <x:c r="I150" t="n">
        <x:v>14</x:v>
      </x:c>
      <x:c r="J150" t="n">
        <x:v>94410.41</x:v>
      </x:c>
    </x:row>
    <x:row r="151">
      <x:c r="A151" t="str">
        <x:v>2026-03-08</x:v>
      </x:c>
      <x:c r="B151" t="str">
        <x:v>Paid Search</x:v>
      </x:c>
      <x:c r="C151" t="str">
        <x:v>Summer Sale</x:v>
      </x:c>
      <x:c r="D151" t="n">
        <x:v>3857.07</x:v>
      </x:c>
      <x:c r="E151" t="n">
        <x:v>18321</x:v>
      </x:c>
      <x:c r="F151" t="n">
        <x:v>332</x:v>
      </x:c>
      <x:c r="G151" t="n">
        <x:v>17</x:v>
      </x:c>
      <x:c r="H151" t="n">
        <x:v>3</x:v>
      </x:c>
      <x:c r="I151" t="n">
        <x:v>0</x:v>
      </x:c>
      <x:c r="J151" t="n">
        <x:v>0</x:v>
      </x:c>
    </x:row>
    <x:row r="152">
      <x:c r="A152" t="str">
        <x:v>2026-03-12</x:v>
      </x:c>
      <x:c r="B152" t="str">
        <x:v>Paid Social</x:v>
      </x:c>
      <x:c r="C152" t="str">
        <x:v>Brand</x:v>
      </x:c>
      <x:c r="D152" t="n">
        <x:v>2624.33</x:v>
      </x:c>
      <x:c r="E152" t="n">
        <x:v>19007</x:v>
      </x:c>
      <x:c r="F152" t="n">
        <x:v>429</x:v>
      </x:c>
      <x:c r="G152" t="n">
        <x:v>69</x:v>
      </x:c>
      <x:c r="H152" t="n">
        <x:v>19</x:v>
      </x:c>
      <x:c r="I152" t="n">
        <x:v>3</x:v>
      </x:c>
      <x:c r="J152" t="n">
        <x:v>18465.3</x:v>
      </x:c>
    </x:row>
    <x:row r="153">
      <x:c r="A153" t="str">
        <x:v>2026-04-22</x:v>
      </x:c>
      <x:c r="B153" t="str">
        <x:v>Paid Social</x:v>
      </x:c>
      <x:c r="C153" t="str">
        <x:v>Loyalty</x:v>
      </x:c>
      <x:c r="D153" t="n">
        <x:v>3927.35</x:v>
      </x:c>
      <x:c r="E153" t="n">
        <x:v>43825</x:v>
      </x:c>
      <x:c r="F153" t="n">
        <x:v>1406</x:v>
      </x:c>
      <x:c r="G153" t="n">
        <x:v>72</x:v>
      </x:c>
      <x:c r="H153" t="n">
        <x:v>23</x:v>
      </x:c>
      <x:c r="I153" t="n">
        <x:v>7</x:v>
      </x:c>
      <x:c r="J153" t="n">
        <x:v>38482.4</x:v>
      </x:c>
    </x:row>
    <x:row r="154">
      <x:c r="A154" t="str">
        <x:v>2026-04-21</x:v>
      </x:c>
      <x:c r="B154" t="str">
        <x:v>Affiliate</x:v>
      </x:c>
      <x:c r="C154" t="str">
        <x:v>Loyalty</x:v>
      </x:c>
      <x:c r="D154" t="n">
        <x:v>3046.58</x:v>
      </x:c>
      <x:c r="E154" t="n">
        <x:v>60201</x:v>
      </x:c>
      <x:c r="F154" t="n">
        <x:v>3129</x:v>
      </x:c>
      <x:c r="G154" t="n">
        <x:v>407</x:v>
      </x:c>
      <x:c r="H154" t="n">
        <x:v>140</x:v>
      </x:c>
      <x:c r="I154" t="n">
        <x:v>71</x:v>
      </x:c>
      <x:c r="J154" t="n">
        <x:v>349448.91</x:v>
      </x:c>
    </x:row>
    <x:row r="155">
      <x:c r="A155" t="str">
        <x:v>2026-05-30</x:v>
      </x:c>
      <x:c r="B155" t="str">
        <x:v>Paid Social</x:v>
      </x:c>
      <x:c r="C155" t="str">
        <x:v>Summer Sale</x:v>
      </x:c>
      <x:c r="D155" t="n">
        <x:v>2637.85</x:v>
      </x:c>
      <x:c r="E155" t="n">
        <x:v>64493</x:v>
      </x:c>
      <x:c r="F155" t="n">
        <x:v>1966</x:v>
      </x:c>
      <x:c r="G155" t="n">
        <x:v>135</x:v>
      </x:c>
      <x:c r="H155" t="n">
        <x:v>48</x:v>
      </x:c>
      <x:c r="I155" t="n">
        <x:v>24</x:v>
      </x:c>
      <x:c r="J155" t="n">
        <x:v>62541.54</x:v>
      </x:c>
    </x:row>
    <x:row r="156">
      <x:c r="A156" t="str">
        <x:v>2026-04-13</x:v>
      </x:c>
      <x:c r="B156" t="str">
        <x:v>Paid Social</x:v>
      </x:c>
      <x:c r="C156" t="str">
        <x:v>Retargeting</x:v>
      </x:c>
      <x:c r="D156" t="n">
        <x:v>3427.88</x:v>
      </x:c>
      <x:c r="E156" t="n">
        <x:v>68274</x:v>
      </x:c>
      <x:c r="F156" t="n">
        <x:v>2162</x:v>
      </x:c>
      <x:c r="G156" t="n">
        <x:v>266</x:v>
      </x:c>
      <x:c r="H156" t="n">
        <x:v>72</x:v>
      </x:c>
      <x:c r="I156" t="n">
        <x:v>31</x:v>
      </x:c>
      <x:c r="J156" t="n">
        <x:v>204449.49</x:v>
      </x:c>
    </x:row>
    <x:row r="157">
      <x:c r="A157" t="str">
        <x:v>2026-02-16</x:v>
      </x:c>
      <x:c r="B157" t="str">
        <x:v>Email</x:v>
      </x:c>
      <x:c r="C157" t="str">
        <x:v>Brand</x:v>
      </x:c>
      <x:c r="D157" t="n">
        <x:v>1677.09</x:v>
      </x:c>
      <x:c r="E157" t="n">
        <x:v>69204</x:v>
      </x:c>
      <x:c r="F157" t="n">
        <x:v>3821</x:v>
      </x:c>
      <x:c r="G157" t="n">
        <x:v>175</x:v>
      </x:c>
      <x:c r="H157" t="n">
        <x:v>39</x:v>
      </x:c>
      <x:c r="I157" t="n">
        <x:v>10</x:v>
      </x:c>
      <x:c r="J157" t="n">
        <x:v>53540.53</x:v>
      </x:c>
    </x:row>
    <x:row r="158">
      <x:c r="A158" t="str">
        <x:v>2026-02-21</x:v>
      </x:c>
      <x:c r="B158" t="str">
        <x:v>Affiliate</x:v>
      </x:c>
      <x:c r="C158" t="str">
        <x:v>Retargeting</x:v>
      </x:c>
      <x:c r="D158" t="n">
        <x:v>584.13</x:v>
      </x:c>
      <x:c r="E158" t="n">
        <x:v>80308</x:v>
      </x:c>
      <x:c r="F158" t="n">
        <x:v>2550</x:v>
      </x:c>
      <x:c r="G158" t="n">
        <x:v>154</x:v>
      </x:c>
      <x:c r="H158" t="n">
        <x:v>45</x:v>
      </x:c>
      <x:c r="I158" t="n">
        <x:v>9</x:v>
      </x:c>
      <x:c r="J158" t="n">
        <x:v>52171.99</x:v>
      </x:c>
    </x:row>
    <x:row r="159">
      <x:c r="A159" t="str">
        <x:v>2026-04-05</x:v>
      </x:c>
      <x:c r="B159" t="str">
        <x:v>Affiliate</x:v>
      </x:c>
      <x:c r="C159" t="str">
        <x:v>Retargeting</x:v>
      </x:c>
      <x:c r="D159" t="n">
        <x:v>1759.32</x:v>
      </x:c>
      <x:c r="E159" t="n">
        <x:v>64888</x:v>
      </x:c>
      <x:c r="F159" t="n">
        <x:v>1227</x:v>
      </x:c>
      <x:c r="G159" t="n">
        <x:v>162</x:v>
      </x:c>
      <x:c r="H159" t="n">
        <x:v>43</x:v>
      </x:c>
      <x:c r="I159" t="n">
        <x:v>20</x:v>
      </x:c>
      <x:c r="J159" t="n">
        <x:v>38197.78</x:v>
      </x:c>
    </x:row>
    <x:row r="160">
      <x:c r="A160" t="str">
        <x:v>2026-06-07</x:v>
      </x:c>
      <x:c r="B160" t="str">
        <x:v>Email</x:v>
      </x:c>
      <x:c r="C160" t="str">
        <x:v>Brand</x:v>
      </x:c>
      <x:c r="D160" t="n">
        <x:v>1159.34</x:v>
      </x:c>
      <x:c r="E160" t="n">
        <x:v>55048</x:v>
      </x:c>
      <x:c r="F160" t="n">
        <x:v>1584</x:v>
      </x:c>
      <x:c r="G160" t="n">
        <x:v>50</x:v>
      </x:c>
      <x:c r="H160" t="n">
        <x:v>13</x:v>
      </x:c>
      <x:c r="I160" t="n">
        <x:v>4</x:v>
      </x:c>
      <x:c r="J160" t="n">
        <x:v>20999.46</x:v>
      </x:c>
    </x:row>
    <x:row r="161">
      <x:c r="A161" t="str">
        <x:v>2026-04-01</x:v>
      </x:c>
      <x:c r="B161" t="str">
        <x:v>Affiliate</x:v>
      </x:c>
      <x:c r="C161" t="str">
        <x:v>Retargeting</x:v>
      </x:c>
      <x:c r="D161" t="n">
        <x:v>615.18</x:v>
      </x:c>
      <x:c r="E161" t="n">
        <x:v>44779</x:v>
      </x:c>
      <x:c r="F161" t="n">
        <x:v>2084</x:v>
      </x:c>
      <x:c r="G161" t="n">
        <x:v>356</x:v>
      </x:c>
      <x:c r="H161" t="n">
        <x:v>109</x:v>
      </x:c>
      <x:c r="I161" t="n">
        <x:v>30</x:v>
      </x:c>
      <x:c r="J161" t="n">
        <x:v>175458.8</x:v>
      </x:c>
    </x:row>
    <x:row r="162">
      <x:c r="A162" t="str">
        <x:v>2026-04-11</x:v>
      </x:c>
      <x:c r="B162" t="str">
        <x:v>Organic</x:v>
      </x:c>
      <x:c r="C162" t="str">
        <x:v>Summer Sale</x:v>
      </x:c>
      <x:c r="D162" t="n">
        <x:v>825.23</x:v>
      </x:c>
      <x:c r="E162" t="n">
        <x:v>106791</x:v>
      </x:c>
      <x:c r="F162" t="n">
        <x:v>1236</x:v>
      </x:c>
      <x:c r="G162" t="n">
        <x:v>185</x:v>
      </x:c>
      <x:c r="H162" t="n">
        <x:v>38</x:v>
      </x:c>
      <x:c r="I162" t="n">
        <x:v>16</x:v>
      </x:c>
      <x:c r="J162" t="n">
        <x:v>86081.4</x:v>
      </x:c>
    </x:row>
    <x:row r="163">
      <x:c r="A163" t="str">
        <x:v>2026-07-28</x:v>
      </x:c>
      <x:c r="B163" t="str">
        <x:v>Paid Social</x:v>
      </x:c>
      <x:c r="C163" t="str">
        <x:v>Retargeting</x:v>
      </x:c>
      <x:c r="D163" t="n">
        <x:v>2730.94</x:v>
      </x:c>
      <x:c r="E163" t="n">
        <x:v>113881</x:v>
      </x:c>
      <x:c r="F163" t="n">
        <x:v>5759</x:v>
      </x:c>
      <x:c r="G163" t="n">
        <x:v>877</x:v>
      </x:c>
      <x:c r="H163" t="n">
        <x:v>254</x:v>
      </x:c>
      <x:c r="I163" t="n">
        <x:v>76</x:v>
      </x:c>
      <x:c r="J163" t="n">
        <x:v>332876.41</x:v>
      </x:c>
    </x:row>
    <x:row r="164">
      <x:c r="A164" t="str">
        <x:v>2026-02-02</x:v>
      </x:c>
      <x:c r="B164" t="str">
        <x:v>Organic</x:v>
      </x:c>
      <x:c r="C164" t="str">
        <x:v>Retargeting</x:v>
      </x:c>
      <x:c r="D164" t="n">
        <x:v>3177.66</x:v>
      </x:c>
      <x:c r="E164" t="n">
        <x:v>35206</x:v>
      </x:c>
      <x:c r="F164" t="n">
        <x:v>771</x:v>
      </x:c>
      <x:c r="G164" t="n">
        <x:v>66</x:v>
      </x:c>
      <x:c r="H164" t="n">
        <x:v>14</x:v>
      </x:c>
      <x:c r="I164" t="n">
        <x:v>4</x:v>
      </x:c>
      <x:c r="J164" t="n">
        <x:v>9112.64</x:v>
      </x:c>
    </x:row>
    <x:row r="165">
      <x:c r="A165" t="str">
        <x:v>2026-01-01</x:v>
      </x:c>
      <x:c r="B165" t="str">
        <x:v>Email</x:v>
      </x:c>
      <x:c r="C165" t="str">
        <x:v>Retargeting</x:v>
      </x:c>
      <x:c r="D165" t="n">
        <x:v>1130.88</x:v>
      </x:c>
      <x:c r="E165" t="n">
        <x:v>44560</x:v>
      </x:c>
      <x:c r="F165" t="n">
        <x:v>1098</x:v>
      </x:c>
      <x:c r="G165" t="n">
        <x:v>112</x:v>
      </x:c>
      <x:c r="H165" t="n">
        <x:v>37</x:v>
      </x:c>
      <x:c r="I165" t="n">
        <x:v>8</x:v>
      </x:c>
      <x:c r="J165" t="n">
        <x:v>51221.43</x:v>
      </x:c>
    </x:row>
    <x:row r="166">
      <x:c r="A166" t="str">
        <x:v>2026-02-09</x:v>
      </x:c>
      <x:c r="B166" t="str">
        <x:v>Email</x:v>
      </x:c>
      <x:c r="C166" t="str">
        <x:v>New Product</x:v>
      </x:c>
      <x:c r="D166" t="n">
        <x:v>416.84</x:v>
      </x:c>
      <x:c r="E166" t="n">
        <x:v>113514</x:v>
      </x:c>
      <x:c r="F166" t="n">
        <x:v>4240</x:v>
      </x:c>
      <x:c r="G166" t="n">
        <x:v>333</x:v>
      </x:c>
      <x:c r="H166" t="n">
        <x:v>144</x:v>
      </x:c>
      <x:c r="I166" t="n">
        <x:v>55</x:v>
      </x:c>
      <x:c r="J166" t="n">
        <x:v>176102.92</x:v>
      </x:c>
    </x:row>
    <x:row r="167">
      <x:c r="A167" t="str">
        <x:v>2026-05-30</x:v>
      </x:c>
      <x:c r="B167" t="str">
        <x:v>Paid Search</x:v>
      </x:c>
      <x:c r="C167" t="str">
        <x:v>Brand</x:v>
      </x:c>
      <x:c r="D167" t="n">
        <x:v>997.05</x:v>
      </x:c>
      <x:c r="E167" t="n">
        <x:v>14437</x:v>
      </x:c>
      <x:c r="F167" t="n">
        <x:v>607</x:v>
      </x:c>
      <x:c r="G167" t="n">
        <x:v>40</x:v>
      </x:c>
      <x:c r="H167" t="n">
        <x:v>7</x:v>
      </x:c>
      <x:c r="I167" t="n">
        <x:v>1</x:v>
      </x:c>
      <x:c r="J167" t="n">
        <x:v>2555.12</x:v>
      </x:c>
    </x:row>
    <x:row r="168">
      <x:c r="A168" t="str">
        <x:v>2026-07-18</x:v>
      </x:c>
      <x:c r="B168" t="str">
        <x:v>Organic</x:v>
      </x:c>
      <x:c r="C168" t="str">
        <x:v>Retargeting</x:v>
      </x:c>
      <x:c r="D168" t="n">
        <x:v>3182.56</x:v>
      </x:c>
      <x:c r="E168" t="n">
        <x:v>32333</x:v>
      </x:c>
      <x:c r="F168" t="n">
        <x:v>1778</x:v>
      </x:c>
      <x:c r="G168" t="n">
        <x:v>264</x:v>
      </x:c>
      <x:c r="H168" t="n">
        <x:v>52</x:v>
      </x:c>
      <x:c r="I168" t="n">
        <x:v>26</x:v>
      </x:c>
      <x:c r="J168" t="n">
        <x:v>122941.77</x:v>
      </x:c>
    </x:row>
    <x:row r="169">
      <x:c r="A169" t="str">
        <x:v>2026-07-20</x:v>
      </x:c>
      <x:c r="B169" t="str">
        <x:v>Paid Search</x:v>
      </x:c>
      <x:c r="C169" t="str">
        <x:v>Loyalty</x:v>
      </x:c>
      <x:c r="D169" t="n">
        <x:v>3194.68</x:v>
      </x:c>
      <x:c r="E169" t="n">
        <x:v>114943</x:v>
      </x:c>
      <x:c r="F169" t="n">
        <x:v>2694</x:v>
      </x:c>
      <x:c r="G169" t="n">
        <x:v>280</x:v>
      </x:c>
      <x:c r="H169" t="n">
        <x:v>59</x:v>
      </x:c>
      <x:c r="I169" t="n">
        <x:v>13</x:v>
      </x:c>
      <x:c r="J169" t="n">
        <x:v>78881.65</x:v>
      </x:c>
    </x:row>
    <x:row r="170">
      <x:c r="A170" t="str">
        <x:v>2026-06-21</x:v>
      </x:c>
      <x:c r="B170" t="str">
        <x:v>Paid Search</x:v>
      </x:c>
      <x:c r="C170" t="str">
        <x:v>Loyalty</x:v>
      </x:c>
      <x:c r="D170" t="n">
        <x:v>650.01</x:v>
      </x:c>
      <x:c r="E170" t="n">
        <x:v>59924</x:v>
      </x:c>
      <x:c r="F170" t="n">
        <x:v>1209</x:v>
      </x:c>
      <x:c r="G170" t="n">
        <x:v>61</x:v>
      </x:c>
      <x:c r="H170" t="n">
        <x:v>18</x:v>
      </x:c>
      <x:c r="I170" t="n">
        <x:v>3</x:v>
      </x:c>
      <x:c r="J170" t="n">
        <x:v>11727.44</x:v>
      </x:c>
    </x:row>
    <x:row r="171">
      <x:c r="A171" t="str">
        <x:v>2026-02-06</x:v>
      </x:c>
      <x:c r="B171" t="str">
        <x:v>Organic</x:v>
      </x:c>
      <x:c r="C171" t="str">
        <x:v>Summer Sale</x:v>
      </x:c>
      <x:c r="D171" t="n">
        <x:v>2093.07</x:v>
      </x:c>
      <x:c r="E171" t="n">
        <x:v>75718</x:v>
      </x:c>
      <x:c r="F171" t="n">
        <x:v>2966</x:v>
      </x:c>
      <x:c r="G171" t="n">
        <x:v>415</x:v>
      </x:c>
      <x:c r="H171" t="n">
        <x:v>82</x:v>
      </x:c>
      <x:c r="I171" t="n">
        <x:v>25</x:v>
      </x:c>
      <x:c r="J171" t="n">
        <x:v>130903.41</x:v>
      </x:c>
    </x:row>
    <x:row r="172">
      <x:c r="A172" t="str">
        <x:v>2026-05-08</x:v>
      </x:c>
      <x:c r="B172" t="str">
        <x:v>Email</x:v>
      </x:c>
      <x:c r="C172" t="str">
        <x:v>New Product</x:v>
      </x:c>
      <x:c r="D172" t="n">
        <x:v>1624.84</x:v>
      </x:c>
      <x:c r="E172" t="n">
        <x:v>59895</x:v>
      </x:c>
      <x:c r="F172" t="n">
        <x:v>3593</x:v>
      </x:c>
      <x:c r="G172" t="n">
        <x:v>472</x:v>
      </x:c>
      <x:c r="H172" t="n">
        <x:v>96</x:v>
      </x:c>
      <x:c r="I172" t="n">
        <x:v>31</x:v>
      </x:c>
      <x:c r="J172" t="n">
        <x:v>153444.57</x:v>
      </x:c>
    </x:row>
    <x:row r="173">
      <x:c r="A173" t="str">
        <x:v>2026-01-06</x:v>
      </x:c>
      <x:c r="B173" t="str">
        <x:v>Affiliate</x:v>
      </x:c>
      <x:c r="C173" t="str">
        <x:v>Brand</x:v>
      </x:c>
      <x:c r="D173" t="n">
        <x:v>2793.83</x:v>
      </x:c>
      <x:c r="E173" t="n">
        <x:v>48313</x:v>
      </x:c>
      <x:c r="F173" t="n">
        <x:v>2417</x:v>
      </x:c>
      <x:c r="G173" t="n">
        <x:v>106</x:v>
      </x:c>
      <x:c r="H173" t="n">
        <x:v>31</x:v>
      </x:c>
      <x:c r="I173" t="n">
        <x:v>14</x:v>
      </x:c>
      <x:c r="J173" t="n">
        <x:v>28532.54</x:v>
      </x:c>
    </x:row>
    <x:row r="174">
      <x:c r="A174" t="str">
        <x:v>2026-02-24</x:v>
      </x:c>
      <x:c r="B174" t="str">
        <x:v>Organic</x:v>
      </x:c>
      <x:c r="C174" t="str">
        <x:v>Summer Sale</x:v>
      </x:c>
      <x:c r="D174" t="n">
        <x:v>1486.7</x:v>
      </x:c>
      <x:c r="E174" t="n">
        <x:v>117943</x:v>
      </x:c>
      <x:c r="F174" t="n">
        <x:v>4985</x:v>
      </x:c>
      <x:c r="G174" t="n">
        <x:v>404</x:v>
      </x:c>
      <x:c r="H174" t="n">
        <x:v>154</x:v>
      </x:c>
      <x:c r="I174" t="n">
        <x:v>60</x:v>
      </x:c>
      <x:c r="J174" t="n">
        <x:v>389491.59</x:v>
      </x:c>
    </x:row>
    <x:row r="175">
      <x:c r="A175" t="str">
        <x:v>2026-03-14</x:v>
      </x:c>
      <x:c r="B175" t="str">
        <x:v>Organic</x:v>
      </x:c>
      <x:c r="C175" t="str">
        <x:v>Retargeting</x:v>
      </x:c>
      <x:c r="D175" t="n">
        <x:v>1805.08</x:v>
      </x:c>
      <x:c r="E175" t="n">
        <x:v>77617</x:v>
      </x:c>
      <x:c r="F175" t="n">
        <x:v>833</x:v>
      </x:c>
      <x:c r="G175" t="n">
        <x:v>61</x:v>
      </x:c>
      <x:c r="H175" t="n">
        <x:v>15</x:v>
      </x:c>
      <x:c r="I175" t="n">
        <x:v>5</x:v>
      </x:c>
      <x:c r="J175" t="n">
        <x:v>15677.93</x:v>
      </x:c>
    </x:row>
    <x:row r="176">
      <x:c r="A176" t="str">
        <x:v>2026-03-11</x:v>
      </x:c>
      <x:c r="B176" t="str">
        <x:v>Affiliate</x:v>
      </x:c>
      <x:c r="C176" t="str">
        <x:v>Retargeting</x:v>
      </x:c>
      <x:c r="D176" t="n">
        <x:v>3904.98</x:v>
      </x:c>
      <x:c r="E176" t="n">
        <x:v>90794</x:v>
      </x:c>
      <x:c r="F176" t="n">
        <x:v>3050</x:v>
      </x:c>
      <x:c r="G176" t="n">
        <x:v>145</x:v>
      </x:c>
      <x:c r="H176" t="n">
        <x:v>30</x:v>
      </x:c>
      <x:c r="I176" t="n">
        <x:v>13</x:v>
      </x:c>
      <x:c r="J176" t="n">
        <x:v>25218.83</x:v>
      </x:c>
    </x:row>
    <x:row r="177">
      <x:c r="A177" t="str">
        <x:v>2026-06-12</x:v>
      </x:c>
      <x:c r="B177" t="str">
        <x:v>Paid Search</x:v>
      </x:c>
      <x:c r="C177" t="str">
        <x:v>Brand</x:v>
      </x:c>
      <x:c r="D177" t="n">
        <x:v>1715.74</x:v>
      </x:c>
      <x:c r="E177" t="n">
        <x:v>77652</x:v>
      </x:c>
      <x:c r="F177" t="n">
        <x:v>4197</x:v>
      </x:c>
      <x:c r="G177" t="n">
        <x:v>469</x:v>
      </x:c>
      <x:c r="H177" t="n">
        <x:v>77</x:v>
      </x:c>
      <x:c r="I177" t="n">
        <x:v>23</x:v>
      </x:c>
      <x:c r="J177" t="n">
        <x:v>28428.5</x:v>
      </x:c>
    </x:row>
    <x:row r="178">
      <x:c r="A178" t="str">
        <x:v>2026-02-18</x:v>
      </x:c>
      <x:c r="B178" t="str">
        <x:v>Organic</x:v>
      </x:c>
      <x:c r="C178" t="str">
        <x:v>Loyalty</x:v>
      </x:c>
      <x:c r="D178" t="n">
        <x:v>3110.74</x:v>
      </x:c>
      <x:c r="E178" t="n">
        <x:v>12883</x:v>
      </x:c>
      <x:c r="F178" t="n">
        <x:v>631</x:v>
      </x:c>
      <x:c r="G178" t="n">
        <x:v>105</x:v>
      </x:c>
      <x:c r="H178" t="n">
        <x:v>35</x:v>
      </x:c>
      <x:c r="I178" t="n">
        <x:v>14</x:v>
      </x:c>
      <x:c r="J178" t="n">
        <x:v>67697.32</x:v>
      </x:c>
    </x:row>
    <x:row r="179">
      <x:c r="A179" t="str">
        <x:v>2026-06-28</x:v>
      </x:c>
      <x:c r="B179" t="str">
        <x:v>Affiliate</x:v>
      </x:c>
      <x:c r="C179" t="str">
        <x:v>Brand</x:v>
      </x:c>
      <x:c r="D179" t="n">
        <x:v>1007.51</x:v>
      </x:c>
      <x:c r="E179" t="n">
        <x:v>92425</x:v>
      </x:c>
      <x:c r="F179" t="n">
        <x:v>3784</x:v>
      </x:c>
      <x:c r="G179" t="n">
        <x:v>468</x:v>
      </x:c>
      <x:c r="H179" t="n">
        <x:v>94</x:v>
      </x:c>
      <x:c r="I179" t="n">
        <x:v>40</x:v>
      </x:c>
      <x:c r="J179" t="n">
        <x:v>249655.76</x:v>
      </x:c>
    </x:row>
    <x:row r="180">
      <x:c r="A180" t="str">
        <x:v>2026-04-18</x:v>
      </x:c>
      <x:c r="B180" t="str">
        <x:v>Paid Search</x:v>
      </x:c>
      <x:c r="C180" t="str">
        <x:v>Brand</x:v>
      </x:c>
      <x:c r="D180" t="n">
        <x:v>1601.7</x:v>
      </x:c>
      <x:c r="E180" t="n">
        <x:v>112821</x:v>
      </x:c>
      <x:c r="F180" t="n">
        <x:v>1716</x:v>
      </x:c>
      <x:c r="G180" t="n">
        <x:v>131</x:v>
      </x:c>
      <x:c r="H180" t="n">
        <x:v>47</x:v>
      </x:c>
      <x:c r="I180" t="n">
        <x:v>23</x:v>
      </x:c>
      <x:c r="J180" t="n">
        <x:v>52249.16</x:v>
      </x:c>
    </x:row>
    <x:row r="181">
      <x:c r="A181" t="str">
        <x:v>2026-01-09</x:v>
      </x:c>
      <x:c r="B181" t="str">
        <x:v>Email</x:v>
      </x:c>
      <x:c r="C181" t="str">
        <x:v>Brand</x:v>
      </x:c>
      <x:c r="D181" t="n">
        <x:v>1836.57</x:v>
      </x:c>
      <x:c r="E181" t="n">
        <x:v>89117</x:v>
      </x:c>
      <x:c r="F181" t="n">
        <x:v>3392</x:v>
      </x:c>
      <x:c r="G181" t="n">
        <x:v>566</x:v>
      </x:c>
      <x:c r="H181" t="n">
        <x:v>169</x:v>
      </x:c>
      <x:c r="I181" t="n">
        <x:v>64</x:v>
      </x:c>
      <x:c r="J181" t="n">
        <x:v>382949.52</x:v>
      </x:c>
    </x:row>
    <x:row r="182">
      <x:c r="A182" t="str">
        <x:v>2026-07-18</x:v>
      </x:c>
      <x:c r="B182" t="str">
        <x:v>Organic</x:v>
      </x:c>
      <x:c r="C182" t="str">
        <x:v>Loyalty</x:v>
      </x:c>
      <x:c r="D182" t="n">
        <x:v>2843.71</x:v>
      </x:c>
      <x:c r="E182" t="n">
        <x:v>58038</x:v>
      </x:c>
      <x:c r="F182" t="n">
        <x:v>1811</x:v>
      </x:c>
      <x:c r="G182" t="n">
        <x:v>58</x:v>
      </x:c>
      <x:c r="H182" t="n">
        <x:v>15</x:v>
      </x:c>
      <x:c r="I182" t="n">
        <x:v>6</x:v>
      </x:c>
      <x:c r="J182" t="n">
        <x:v>39832.64</x:v>
      </x:c>
    </x:row>
    <x:row r="183">
      <x:c r="A183" t="str">
        <x:v>2026-02-09</x:v>
      </x:c>
      <x:c r="B183" t="str">
        <x:v>Organic</x:v>
      </x:c>
      <x:c r="C183" t="str">
        <x:v>New Product</x:v>
      </x:c>
      <x:c r="D183" t="n">
        <x:v>2285.46</x:v>
      </x:c>
      <x:c r="E183" t="n">
        <x:v>15869</x:v>
      </x:c>
      <x:c r="F183" t="n">
        <x:v>658</x:v>
      </x:c>
      <x:c r="G183" t="n">
        <x:v>40</x:v>
      </x:c>
      <x:c r="H183" t="n">
        <x:v>7</x:v>
      </x:c>
      <x:c r="I183" t="n">
        <x:v>1</x:v>
      </x:c>
      <x:c r="J183" t="n">
        <x:v>1227.74</x:v>
      </x:c>
    </x:row>
    <x:row r="184">
      <x:c r="A184" t="str">
        <x:v>2026-06-25</x:v>
      </x:c>
      <x:c r="B184" t="str">
        <x:v>Paid Search</x:v>
      </x:c>
      <x:c r="C184" t="str">
        <x:v>Brand</x:v>
      </x:c>
      <x:c r="D184" t="n">
        <x:v>1029.33</x:v>
      </x:c>
      <x:c r="E184" t="n">
        <x:v>20905</x:v>
      </x:c>
      <x:c r="F184" t="n">
        <x:v>307</x:v>
      </x:c>
      <x:c r="G184" t="n">
        <x:v>10</x:v>
      </x:c>
      <x:c r="H184" t="n">
        <x:v>3</x:v>
      </x:c>
      <x:c r="I184" t="n">
        <x:v>0</x:v>
      </x:c>
      <x:c r="J184" t="n">
        <x:v>0</x:v>
      </x:c>
    </x:row>
    <x:row r="185">
      <x:c r="A185" t="str">
        <x:v>2026-02-17</x:v>
      </x:c>
      <x:c r="B185" t="str">
        <x:v>Paid Search</x:v>
      </x:c>
      <x:c r="C185" t="str">
        <x:v>Retargeting</x:v>
      </x:c>
      <x:c r="D185" t="n">
        <x:v>3141.29</x:v>
      </x:c>
      <x:c r="E185" t="n">
        <x:v>98526</x:v>
      </x:c>
      <x:c r="F185" t="n">
        <x:v>4348</x:v>
      </x:c>
      <x:c r="G185" t="n">
        <x:v>224</x:v>
      </x:c>
      <x:c r="H185" t="n">
        <x:v>84</x:v>
      </x:c>
      <x:c r="I185" t="n">
        <x:v>25</x:v>
      </x:c>
      <x:c r="J185" t="n">
        <x:v>110835.89</x:v>
      </x:c>
    </x:row>
    <x:row r="186">
      <x:c r="A186" t="str">
        <x:v>2026-05-08</x:v>
      </x:c>
      <x:c r="B186" t="str">
        <x:v>Organic</x:v>
      </x:c>
      <x:c r="C186" t="str">
        <x:v>Retargeting</x:v>
      </x:c>
      <x:c r="D186" t="n">
        <x:v>3671.38</x:v>
      </x:c>
      <x:c r="E186" t="n">
        <x:v>11902</x:v>
      </x:c>
      <x:c r="F186" t="n">
        <x:v>539</x:v>
      </x:c>
      <x:c r="G186" t="n">
        <x:v>17</x:v>
      </x:c>
      <x:c r="H186" t="n">
        <x:v>2</x:v>
      </x:c>
      <x:c r="I186" t="n">
        <x:v>0</x:v>
      </x:c>
      <x:c r="J186" t="n">
        <x:v>0</x:v>
      </x:c>
    </x:row>
    <x:row r="187">
      <x:c r="A187" t="str">
        <x:v>2026-01-21</x:v>
      </x:c>
      <x:c r="B187" t="str">
        <x:v>Organic</x:v>
      </x:c>
      <x:c r="C187" t="str">
        <x:v>Retargeting</x:v>
      </x:c>
      <x:c r="D187" t="n">
        <x:v>1387.48</x:v>
      </x:c>
      <x:c r="E187" t="n">
        <x:v>83658</x:v>
      </x:c>
      <x:c r="F187" t="n">
        <x:v>1391</x:v>
      </x:c>
      <x:c r="G187" t="n">
        <x:v>221</x:v>
      </x:c>
      <x:c r="H187" t="n">
        <x:v>65</x:v>
      </x:c>
      <x:c r="I187" t="n">
        <x:v>14</x:v>
      </x:c>
      <x:c r="J187" t="n">
        <x:v>46646.33</x:v>
      </x:c>
    </x:row>
    <x:row r="188">
      <x:c r="A188" t="str">
        <x:v>2026-05-28</x:v>
      </x:c>
      <x:c r="B188" t="str">
        <x:v>Organic</x:v>
      </x:c>
      <x:c r="C188" t="str">
        <x:v>New Product</x:v>
      </x:c>
      <x:c r="D188" t="n">
        <x:v>2772.14</x:v>
      </x:c>
      <x:c r="E188" t="n">
        <x:v>23993</x:v>
      </x:c>
      <x:c r="F188" t="n">
        <x:v>1397</x:v>
      </x:c>
      <x:c r="G188" t="n">
        <x:v>66</x:v>
      </x:c>
      <x:c r="H188" t="n">
        <x:v>28</x:v>
      </x:c>
      <x:c r="I188" t="n">
        <x:v>7</x:v>
      </x:c>
      <x:c r="J188" t="n">
        <x:v>40955.05</x:v>
      </x:c>
    </x:row>
    <x:row r="189">
      <x:c r="A189" t="str">
        <x:v>2026-05-03</x:v>
      </x:c>
      <x:c r="B189" t="str">
        <x:v>Organic</x:v>
      </x:c>
      <x:c r="C189" t="str">
        <x:v>New Product</x:v>
      </x:c>
      <x:c r="D189" t="n">
        <x:v>3790.7</x:v>
      </x:c>
      <x:c r="E189" t="n">
        <x:v>107842</x:v>
      </x:c>
      <x:c r="F189" t="n">
        <x:v>5095</x:v>
      </x:c>
      <x:c r="G189" t="n">
        <x:v>408</x:v>
      </x:c>
      <x:c r="H189" t="n">
        <x:v>95</x:v>
      </x:c>
      <x:c r="I189" t="n">
        <x:v>39</x:v>
      </x:c>
      <x:c r="J189" t="n">
        <x:v>194044.22</x:v>
      </x:c>
    </x:row>
    <x:row r="190">
      <x:c r="A190" t="str">
        <x:v>2026-07-25</x:v>
      </x:c>
      <x:c r="B190" t="str">
        <x:v>Affiliate</x:v>
      </x:c>
      <x:c r="C190" t="str">
        <x:v>Retargeting</x:v>
      </x:c>
      <x:c r="D190" t="n">
        <x:v>3504.32</x:v>
      </x:c>
      <x:c r="E190" t="n">
        <x:v>100120</x:v>
      </x:c>
      <x:c r="F190" t="n">
        <x:v>5889</x:v>
      </x:c>
      <x:c r="G190" t="n">
        <x:v>910</x:v>
      </x:c>
      <x:c r="H190" t="n">
        <x:v>300</x:v>
      </x:c>
      <x:c r="I190" t="n">
        <x:v>92</x:v>
      </x:c>
      <x:c r="J190" t="n">
        <x:v>339080.61</x:v>
      </x:c>
    </x:row>
    <x:row r="191">
      <x:c r="A191" t="str">
        <x:v>2026-03-05</x:v>
      </x:c>
      <x:c r="B191" t="str">
        <x:v>Organic</x:v>
      </x:c>
      <x:c r="C191" t="str">
        <x:v>New Product</x:v>
      </x:c>
      <x:c r="D191" t="n">
        <x:v>2802.32</x:v>
      </x:c>
      <x:c r="E191" t="n">
        <x:v>83876</x:v>
      </x:c>
      <x:c r="F191" t="n">
        <x:v>4035</x:v>
      </x:c>
      <x:c r="G191" t="n">
        <x:v>262</x:v>
      </x:c>
      <x:c r="H191" t="n">
        <x:v>74</x:v>
      </x:c>
      <x:c r="I191" t="n">
        <x:v>32</x:v>
      </x:c>
      <x:c r="J191" t="n">
        <x:v>98075.2</x:v>
      </x:c>
    </x:row>
    <x:row r="192">
      <x:c r="A192" t="str">
        <x:v>2026-03-10</x:v>
      </x:c>
      <x:c r="B192" t="str">
        <x:v>Organic</x:v>
      </x:c>
      <x:c r="C192" t="str">
        <x:v>Summer Sale</x:v>
      </x:c>
      <x:c r="D192" t="n">
        <x:v>2429.24</x:v>
      </x:c>
      <x:c r="E192" t="n">
        <x:v>111952</x:v>
      </x:c>
      <x:c r="F192" t="n">
        <x:v>5339</x:v>
      </x:c>
      <x:c r="G192" t="n">
        <x:v>787</x:v>
      </x:c>
      <x:c r="H192" t="n">
        <x:v>186</x:v>
      </x:c>
      <x:c r="I192" t="n">
        <x:v>46</x:v>
      </x:c>
      <x:c r="J192" t="n">
        <x:v>292815.41</x:v>
      </x:c>
    </x:row>
    <x:row r="193">
      <x:c r="A193" t="str">
        <x:v>2026-05-27</x:v>
      </x:c>
      <x:c r="B193" t="str">
        <x:v>Paid Social</x:v>
      </x:c>
      <x:c r="C193" t="str">
        <x:v>Retargeting</x:v>
      </x:c>
      <x:c r="D193" t="n">
        <x:v>3906.41</x:v>
      </x:c>
      <x:c r="E193" t="n">
        <x:v>109498</x:v>
      </x:c>
      <x:c r="F193" t="n">
        <x:v>5471</x:v>
      </x:c>
      <x:c r="G193" t="n">
        <x:v>725</x:v>
      </x:c>
      <x:c r="H193" t="n">
        <x:v>307</x:v>
      </x:c>
      <x:c r="I193" t="n">
        <x:v>98</x:v>
      </x:c>
      <x:c r="J193" t="n">
        <x:v>165950.13</x:v>
      </x:c>
    </x:row>
    <x:row r="194">
      <x:c r="A194" t="str">
        <x:v>2026-05-22</x:v>
      </x:c>
      <x:c r="B194" t="str">
        <x:v>Organic</x:v>
      </x:c>
      <x:c r="C194" t="str">
        <x:v>New Product</x:v>
      </x:c>
      <x:c r="D194" t="n">
        <x:v>961.64</x:v>
      </x:c>
      <x:c r="E194" t="n">
        <x:v>103328</x:v>
      </x:c>
      <x:c r="F194" t="n">
        <x:v>4706</x:v>
      </x:c>
      <x:c r="G194" t="n">
        <x:v>834</x:v>
      </x:c>
      <x:c r="H194" t="n">
        <x:v>202</x:v>
      </x:c>
      <x:c r="I194" t="n">
        <x:v>44</x:v>
      </x:c>
      <x:c r="J194" t="n">
        <x:v>153730.56</x:v>
      </x:c>
    </x:row>
    <x:row r="195">
      <x:c r="A195" t="str">
        <x:v>2026-07-01</x:v>
      </x:c>
      <x:c r="B195" t="str">
        <x:v>Paid Social</x:v>
      </x:c>
      <x:c r="C195" t="str">
        <x:v>Retargeting</x:v>
      </x:c>
      <x:c r="D195" t="n">
        <x:v>2428.28</x:v>
      </x:c>
      <x:c r="E195" t="n">
        <x:v>6228</x:v>
      </x:c>
      <x:c r="F195" t="n">
        <x:v>306</x:v>
      </x:c>
      <x:c r="G195" t="n">
        <x:v>30</x:v>
      </x:c>
      <x:c r="H195" t="n">
        <x:v>5</x:v>
      </x:c>
      <x:c r="I195" t="n">
        <x:v>2</x:v>
      </x:c>
      <x:c r="J195" t="n">
        <x:v>11357.13</x:v>
      </x:c>
    </x:row>
    <x:row r="196">
      <x:c r="A196" t="str">
        <x:v>2026-03-01</x:v>
      </x:c>
      <x:c r="B196" t="str">
        <x:v>Organic</x:v>
      </x:c>
      <x:c r="C196" t="str">
        <x:v>Loyalty</x:v>
      </x:c>
      <x:c r="D196" t="n">
        <x:v>2179.95</x:v>
      </x:c>
      <x:c r="E196" t="n">
        <x:v>39018</x:v>
      </x:c>
      <x:c r="F196" t="n">
        <x:v>2107</x:v>
      </x:c>
      <x:c r="G196" t="n">
        <x:v>228</x:v>
      </x:c>
      <x:c r="H196" t="n">
        <x:v>66</x:v>
      </x:c>
      <x:c r="I196" t="n">
        <x:v>26</x:v>
      </x:c>
      <x:c r="J196" t="n">
        <x:v>59724.03</x:v>
      </x:c>
    </x:row>
    <x:row r="197">
      <x:c r="A197" t="str">
        <x:v>2026-02-19</x:v>
      </x:c>
      <x:c r="B197" t="str">
        <x:v>Paid Search</x:v>
      </x:c>
      <x:c r="C197" t="str">
        <x:v>Summer Sale</x:v>
      </x:c>
      <x:c r="D197" t="n">
        <x:v>3262.29</x:v>
      </x:c>
      <x:c r="E197" t="n">
        <x:v>42984</x:v>
      </x:c>
      <x:c r="F197" t="n">
        <x:v>1154</x:v>
      </x:c>
      <x:c r="G197" t="n">
        <x:v>132</x:v>
      </x:c>
      <x:c r="H197" t="n">
        <x:v>35</x:v>
      </x:c>
      <x:c r="I197" t="n">
        <x:v>13</x:v>
      </x:c>
      <x:c r="J197" t="n">
        <x:v>26835.28</x:v>
      </x:c>
    </x:row>
    <x:row r="198">
      <x:c r="A198" t="str">
        <x:v>2026-01-12</x:v>
      </x:c>
      <x:c r="B198" t="str">
        <x:v>Organic</x:v>
      </x:c>
      <x:c r="C198" t="str">
        <x:v>Retargeting</x:v>
      </x:c>
      <x:c r="D198" t="n">
        <x:v>3492.21</x:v>
      </x:c>
      <x:c r="E198" t="n">
        <x:v>53715</x:v>
      </x:c>
      <x:c r="F198" t="n">
        <x:v>2197</x:v>
      </x:c>
      <x:c r="G198" t="n">
        <x:v>325</x:v>
      </x:c>
      <x:c r="H198" t="n">
        <x:v>63</x:v>
      </x:c>
      <x:c r="I198" t="n">
        <x:v>25</x:v>
      </x:c>
      <x:c r="J198" t="n">
        <x:v>80013.64</x:v>
      </x:c>
    </x:row>
    <x:row r="199">
      <x:c r="A199" t="str">
        <x:v>2026-05-13</x:v>
      </x:c>
      <x:c r="B199" t="str">
        <x:v>Affiliate</x:v>
      </x:c>
      <x:c r="C199" t="str">
        <x:v>Brand</x:v>
      </x:c>
      <x:c r="D199" t="n">
        <x:v>557.52</x:v>
      </x:c>
      <x:c r="E199" t="n">
        <x:v>31823</x:v>
      </x:c>
      <x:c r="F199" t="n">
        <x:v>1893</x:v>
      </x:c>
      <x:c r="G199" t="n">
        <x:v>302</x:v>
      </x:c>
      <x:c r="H199" t="n">
        <x:v>89</x:v>
      </x:c>
      <x:c r="I199" t="n">
        <x:v>35</x:v>
      </x:c>
      <x:c r="J199" t="n">
        <x:v>95104.17</x:v>
      </x:c>
    </x:row>
    <x:row r="200">
      <x:c r="A200" t="str">
        <x:v>2026-07-19</x:v>
      </x:c>
      <x:c r="B200" t="str">
        <x:v>Email</x:v>
      </x:c>
      <x:c r="C200" t="str">
        <x:v>New Product</x:v>
      </x:c>
      <x:c r="D200" t="n">
        <x:v>569.01</x:v>
      </x:c>
      <x:c r="E200" t="n">
        <x:v>63571</x:v>
      </x:c>
      <x:c r="F200" t="n">
        <x:v>3044</x:v>
      </x:c>
      <x:c r="G200" t="n">
        <x:v>465</x:v>
      </x:c>
      <x:c r="H200" t="n">
        <x:v>204</x:v>
      </x:c>
      <x:c r="I200" t="n">
        <x:v>58</x:v>
      </x:c>
      <x:c r="J200" t="n">
        <x:v>82339.64</x:v>
      </x:c>
    </x:row>
    <x:row r="201">
      <x:c r="A201" t="str">
        <x:v>2026-02-21</x:v>
      </x:c>
      <x:c r="B201" t="str">
        <x:v>Paid Social</x:v>
      </x:c>
      <x:c r="C201" t="str">
        <x:v>New Product</x:v>
      </x:c>
      <x:c r="D201" t="n">
        <x:v>517.89</x:v>
      </x:c>
      <x:c r="E201" t="n">
        <x:v>11684</x:v>
      </x:c>
      <x:c r="F201" t="n">
        <x:v>114</x:v>
      </x:c>
      <x:c r="G201" t="n">
        <x:v>9</x:v>
      </x:c>
      <x:c r="H201" t="n">
        <x:v>3</x:v>
      </x:c>
      <x:c r="I201" t="n">
        <x:v>1</x:v>
      </x:c>
      <x:c r="J201" t="n">
        <x:v>6104.51</x:v>
      </x:c>
    </x:row>
    <x:row r="202">
      <x:c r="A202" t="str">
        <x:v>2026-01-17</x:v>
      </x:c>
      <x:c r="B202" t="str">
        <x:v>Affiliate</x:v>
      </x:c>
      <x:c r="C202" t="str">
        <x:v>New Product</x:v>
      </x:c>
      <x:c r="D202" t="n">
        <x:v>3704.19</x:v>
      </x:c>
      <x:c r="E202" t="n">
        <x:v>97586</x:v>
      </x:c>
      <x:c r="F202" t="n">
        <x:v>5648</x:v>
      </x:c>
      <x:c r="G202" t="n">
        <x:v>387</x:v>
      </x:c>
      <x:c r="H202" t="n">
        <x:v>123</x:v>
      </x:c>
      <x:c r="I202" t="n">
        <x:v>52</x:v>
      </x:c>
      <x:c r="J202" t="n">
        <x:v>350856.28</x:v>
      </x:c>
    </x:row>
    <x:row r="203">
      <x:c r="A203" t="str">
        <x:v>2026-06-21</x:v>
      </x:c>
      <x:c r="B203" t="str">
        <x:v>Affiliate</x:v>
      </x:c>
      <x:c r="C203" t="str">
        <x:v>New Product</x:v>
      </x:c>
      <x:c r="D203" t="n">
        <x:v>894.15</x:v>
      </x:c>
      <x:c r="E203" t="n">
        <x:v>116371</x:v>
      </x:c>
      <x:c r="F203" t="n">
        <x:v>1897</x:v>
      </x:c>
      <x:c r="G203" t="n">
        <x:v>331</x:v>
      </x:c>
      <x:c r="H203" t="n">
        <x:v>148</x:v>
      </x:c>
      <x:c r="I203" t="n">
        <x:v>41</x:v>
      </x:c>
      <x:c r="J203" t="n">
        <x:v>58386.61</x:v>
      </x:c>
    </x:row>
    <x:row r="204">
      <x:c r="A204" t="str">
        <x:v>2026-03-07</x:v>
      </x:c>
      <x:c r="B204" t="str">
        <x:v>Email</x:v>
      </x:c>
      <x:c r="C204" t="str">
        <x:v>Brand</x:v>
      </x:c>
      <x:c r="D204" t="n">
        <x:v>3630.47</x:v>
      </x:c>
      <x:c r="E204" t="n">
        <x:v>8641</x:v>
      </x:c>
      <x:c r="F204" t="n">
        <x:v>445</x:v>
      </x:c>
      <x:c r="G204" t="n">
        <x:v>16</x:v>
      </x:c>
      <x:c r="H204" t="n">
        <x:v>6</x:v>
      </x:c>
      <x:c r="I204" t="n">
        <x:v>2</x:v>
      </x:c>
      <x:c r="J204" t="n">
        <x:v>9901.57</x:v>
      </x:c>
    </x:row>
    <x:row r="205">
      <x:c r="A205" t="str">
        <x:v>2026-05-04</x:v>
      </x:c>
      <x:c r="B205" t="str">
        <x:v>Paid Search</x:v>
      </x:c>
      <x:c r="C205" t="str">
        <x:v>Brand</x:v>
      </x:c>
      <x:c r="D205" t="n">
        <x:v>750.23</x:v>
      </x:c>
      <x:c r="E205" t="n">
        <x:v>103952</x:v>
      </x:c>
      <x:c r="F205" t="n">
        <x:v>862</x:v>
      </x:c>
      <x:c r="G205" t="n">
        <x:v>51</x:v>
      </x:c>
      <x:c r="H205" t="n">
        <x:v>19</x:v>
      </x:c>
      <x:c r="I205" t="n">
        <x:v>7</x:v>
      </x:c>
      <x:c r="J205" t="n">
        <x:v>26315.97</x:v>
      </x:c>
    </x:row>
    <x:row r="206">
      <x:c r="A206" t="str">
        <x:v>2026-06-17</x:v>
      </x:c>
      <x:c r="B206" t="str">
        <x:v>Paid Search</x:v>
      </x:c>
      <x:c r="C206" t="str">
        <x:v>New Product</x:v>
      </x:c>
      <x:c r="D206" t="n">
        <x:v>1430.89</x:v>
      </x:c>
      <x:c r="E206" t="n">
        <x:v>38686</x:v>
      </x:c>
      <x:c r="F206" t="n">
        <x:v>1094</x:v>
      </x:c>
      <x:c r="G206" t="n">
        <x:v>94</x:v>
      </x:c>
      <x:c r="H206" t="n">
        <x:v>24</x:v>
      </x:c>
      <x:c r="I206" t="n">
        <x:v>8</x:v>
      </x:c>
      <x:c r="J206" t="n">
        <x:v>47070.51</x:v>
      </x:c>
    </x:row>
    <x:row r="207">
      <x:c r="A207" t="str">
        <x:v>2026-06-23</x:v>
      </x:c>
      <x:c r="B207" t="str">
        <x:v>Paid Search</x:v>
      </x:c>
      <x:c r="C207" t="str">
        <x:v>New Product</x:v>
      </x:c>
      <x:c r="D207" t="n">
        <x:v>2925.46</x:v>
      </x:c>
      <x:c r="E207" t="n">
        <x:v>30572</x:v>
      </x:c>
      <x:c r="F207" t="n">
        <x:v>1514</x:v>
      </x:c>
      <x:c r="G207" t="n">
        <x:v>81</x:v>
      </x:c>
      <x:c r="H207" t="n">
        <x:v>32</x:v>
      </x:c>
      <x:c r="I207" t="n">
        <x:v>7</x:v>
      </x:c>
      <x:c r="J207" t="n">
        <x:v>33517.34</x:v>
      </x:c>
    </x:row>
    <x:row r="208">
      <x:c r="A208" t="str">
        <x:v>2026-04-06</x:v>
      </x:c>
      <x:c r="B208" t="str">
        <x:v>Paid Social</x:v>
      </x:c>
      <x:c r="C208" t="str">
        <x:v>New Product</x:v>
      </x:c>
      <x:c r="D208" t="n">
        <x:v>3840.22</x:v>
      </x:c>
      <x:c r="E208" t="n">
        <x:v>55473</x:v>
      </x:c>
      <x:c r="F208" t="n">
        <x:v>2873</x:v>
      </x:c>
      <x:c r="G208" t="n">
        <x:v>356</x:v>
      </x:c>
      <x:c r="H208" t="n">
        <x:v>101</x:v>
      </x:c>
      <x:c r="I208" t="n">
        <x:v>32</x:v>
      </x:c>
      <x:c r="J208" t="n">
        <x:v>191160.09</x:v>
      </x:c>
    </x:row>
    <x:row r="209">
      <x:c r="A209" t="str">
        <x:v>2026-05-03</x:v>
      </x:c>
      <x:c r="B209" t="str">
        <x:v>Paid Search</x:v>
      </x:c>
      <x:c r="C209" t="str">
        <x:v>Retargeting</x:v>
      </x:c>
      <x:c r="D209" t="n">
        <x:v>742.52</x:v>
      </x:c>
      <x:c r="E209" t="n">
        <x:v>34052</x:v>
      </x:c>
      <x:c r="F209" t="n">
        <x:v>1575</x:v>
      </x:c>
      <x:c r="G209" t="n">
        <x:v>89</x:v>
      </x:c>
      <x:c r="H209" t="n">
        <x:v>25</x:v>
      </x:c>
      <x:c r="I209" t="n">
        <x:v>12</x:v>
      </x:c>
      <x:c r="J209" t="n">
        <x:v>44952.38</x:v>
      </x:c>
    </x:row>
    <x:row r="210">
      <x:c r="A210" t="str">
        <x:v>2026-02-08</x:v>
      </x:c>
      <x:c r="B210" t="str">
        <x:v>Email</x:v>
      </x:c>
      <x:c r="C210" t="str">
        <x:v>New Product</x:v>
      </x:c>
      <x:c r="D210" t="n">
        <x:v>1764.77</x:v>
      </x:c>
      <x:c r="E210" t="n">
        <x:v>25406</x:v>
      </x:c>
      <x:c r="F210" t="n">
        <x:v>236</x:v>
      </x:c>
      <x:c r="G210" t="n">
        <x:v>27</x:v>
      </x:c>
      <x:c r="H210" t="n">
        <x:v>6</x:v>
      </x:c>
      <x:c r="I210" t="n">
        <x:v>2</x:v>
      </x:c>
      <x:c r="J210" t="n">
        <x:v>5423.8</x:v>
      </x:c>
    </x:row>
    <x:row r="211">
      <x:c r="A211" t="str">
        <x:v>2026-01-28</x:v>
      </x:c>
      <x:c r="B211" t="str">
        <x:v>Email</x:v>
      </x:c>
      <x:c r="C211" t="str">
        <x:v>New Product</x:v>
      </x:c>
      <x:c r="D211" t="n">
        <x:v>3632.04</x:v>
      </x:c>
      <x:c r="E211" t="n">
        <x:v>19964</x:v>
      </x:c>
      <x:c r="F211" t="n">
        <x:v>318</x:v>
      </x:c>
      <x:c r="G211" t="n">
        <x:v>34</x:v>
      </x:c>
      <x:c r="H211" t="n">
        <x:v>11</x:v>
      </x:c>
      <x:c r="I211" t="n">
        <x:v>5</x:v>
      </x:c>
      <x:c r="J211" t="n">
        <x:v>32831.62</x:v>
      </x:c>
    </x:row>
    <x:row r="212">
      <x:c r="A212" t="str">
        <x:v>2026-05-24</x:v>
      </x:c>
      <x:c r="B212" t="str">
        <x:v>Organic</x:v>
      </x:c>
      <x:c r="C212" t="str">
        <x:v>Retargeting</x:v>
      </x:c>
      <x:c r="D212" t="n">
        <x:v>652.92</x:v>
      </x:c>
      <x:c r="E212" t="n">
        <x:v>103939</x:v>
      </x:c>
      <x:c r="F212" t="n">
        <x:v>1921</x:v>
      </x:c>
      <x:c r="G212" t="n">
        <x:v>162</x:v>
      </x:c>
      <x:c r="H212" t="n">
        <x:v>72</x:v>
      </x:c>
      <x:c r="I212" t="n">
        <x:v>39</x:v>
      </x:c>
      <x:c r="J212" t="n">
        <x:v>256053.04</x:v>
      </x:c>
    </x:row>
    <x:row r="213">
      <x:c r="A213" t="str">
        <x:v>2026-01-25</x:v>
      </x:c>
      <x:c r="B213" t="str">
        <x:v>Organic</x:v>
      </x:c>
      <x:c r="C213" t="str">
        <x:v>Retargeting</x:v>
      </x:c>
      <x:c r="D213" t="n">
        <x:v>1779.42</x:v>
      </x:c>
      <x:c r="E213" t="n">
        <x:v>26259</x:v>
      </x:c>
      <x:c r="F213" t="n">
        <x:v>288</x:v>
      </x:c>
      <x:c r="G213" t="n">
        <x:v>40</x:v>
      </x:c>
      <x:c r="H213" t="n">
        <x:v>9</x:v>
      </x:c>
      <x:c r="I213" t="n">
        <x:v>4</x:v>
      </x:c>
      <x:c r="J213" t="n">
        <x:v>5171.86</x:v>
      </x:c>
    </x:row>
    <x:row r="214">
      <x:c r="A214" t="str">
        <x:v>2026-07-26</x:v>
      </x:c>
      <x:c r="B214" t="str">
        <x:v>Affiliate</x:v>
      </x:c>
      <x:c r="C214" t="str">
        <x:v>Retargeting</x:v>
      </x:c>
      <x:c r="D214" t="n">
        <x:v>2140.98</x:v>
      </x:c>
      <x:c r="E214" t="n">
        <x:v>63065</x:v>
      </x:c>
      <x:c r="F214" t="n">
        <x:v>510</x:v>
      </x:c>
      <x:c r="G214" t="n">
        <x:v>78</x:v>
      </x:c>
      <x:c r="H214" t="n">
        <x:v>24</x:v>
      </x:c>
      <x:c r="I214" t="n">
        <x:v>6</x:v>
      </x:c>
      <x:c r="J214" t="n">
        <x:v>22346.68</x:v>
      </x:c>
    </x:row>
    <x:row r="215">
      <x:c r="A215" t="str">
        <x:v>2026-04-15</x:v>
      </x:c>
      <x:c r="B215" t="str">
        <x:v>Paid Social</x:v>
      </x:c>
      <x:c r="C215" t="str">
        <x:v>Retargeting</x:v>
      </x:c>
      <x:c r="D215" t="n">
        <x:v>2371.09</x:v>
      </x:c>
      <x:c r="E215" t="n">
        <x:v>23097</x:v>
      </x:c>
      <x:c r="F215" t="n">
        <x:v>1197</x:v>
      </x:c>
      <x:c r="G215" t="n">
        <x:v>129</x:v>
      </x:c>
      <x:c r="H215" t="n">
        <x:v>28</x:v>
      </x:c>
      <x:c r="I215" t="n">
        <x:v>7</x:v>
      </x:c>
      <x:c r="J215" t="n">
        <x:v>32786.47</x:v>
      </x:c>
    </x:row>
    <x:row r="216">
      <x:c r="A216" t="str">
        <x:v>2026-01-23</x:v>
      </x:c>
      <x:c r="B216" t="str">
        <x:v>Affiliate</x:v>
      </x:c>
      <x:c r="C216" t="str">
        <x:v>New Product</x:v>
      </x:c>
      <x:c r="D216" t="n">
        <x:v>3092.86</x:v>
      </x:c>
      <x:c r="E216" t="n">
        <x:v>27979</x:v>
      </x:c>
      <x:c r="F216" t="n">
        <x:v>523</x:v>
      </x:c>
      <x:c r="G216" t="n">
        <x:v>63</x:v>
      </x:c>
      <x:c r="H216" t="n">
        <x:v>22</x:v>
      </x:c>
      <x:c r="I216" t="n">
        <x:v>10</x:v>
      </x:c>
      <x:c r="J216" t="n">
        <x:v>45810.12</x:v>
      </x:c>
    </x:row>
    <x:row r="217">
      <x:c r="A217" t="str">
        <x:v>2026-02-21</x:v>
      </x:c>
      <x:c r="B217" t="str">
        <x:v>Paid Search</x:v>
      </x:c>
      <x:c r="C217" t="str">
        <x:v>Brand</x:v>
      </x:c>
      <x:c r="D217" t="n">
        <x:v>2830.52</x:v>
      </x:c>
      <x:c r="E217" t="n">
        <x:v>73100</x:v>
      </x:c>
      <x:c r="F217" t="n">
        <x:v>2136</x:v>
      </x:c>
      <x:c r="G217" t="n">
        <x:v>295</x:v>
      </x:c>
      <x:c r="H217" t="n">
        <x:v>49</x:v>
      </x:c>
      <x:c r="I217" t="n">
        <x:v>23</x:v>
      </x:c>
      <x:c r="J217" t="n">
        <x:v>72318.27</x:v>
      </x:c>
    </x:row>
    <x:row r="218">
      <x:c r="A218" t="str">
        <x:v>2026-06-13</x:v>
      </x:c>
      <x:c r="B218" t="str">
        <x:v>Organic</x:v>
      </x:c>
      <x:c r="C218" t="str">
        <x:v>Brand</x:v>
      </x:c>
      <x:c r="D218" t="n">
        <x:v>258.69</x:v>
      </x:c>
      <x:c r="E218" t="n">
        <x:v>105005</x:v>
      </x:c>
      <x:c r="F218" t="n">
        <x:v>3442</x:v>
      </x:c>
      <x:c r="G218" t="n">
        <x:v>553</x:v>
      </x:c>
      <x:c r="H218" t="n">
        <x:v>127</x:v>
      </x:c>
      <x:c r="I218" t="n">
        <x:v>33</x:v>
      </x:c>
      <x:c r="J218" t="n">
        <x:v>198772.61</x:v>
      </x:c>
    </x:row>
    <x:row r="219">
      <x:c r="A219" t="str">
        <x:v>2026-04-04</x:v>
      </x:c>
      <x:c r="B219" t="str">
        <x:v>Paid Search</x:v>
      </x:c>
      <x:c r="C219" t="str">
        <x:v>Summer Sale</x:v>
      </x:c>
      <x:c r="D219" t="n">
        <x:v>2868.58</x:v>
      </x:c>
      <x:c r="E219" t="n">
        <x:v>80355</x:v>
      </x:c>
      <x:c r="F219" t="n">
        <x:v>3128</x:v>
      </x:c>
      <x:c r="G219" t="n">
        <x:v>96</x:v>
      </x:c>
      <x:c r="H219" t="n">
        <x:v>29</x:v>
      </x:c>
      <x:c r="I219" t="n">
        <x:v>10</x:v>
      </x:c>
      <x:c r="J219" t="n">
        <x:v>41906.27</x:v>
      </x:c>
    </x:row>
    <x:row r="220">
      <x:c r="A220" t="str">
        <x:v>2026-01-31</x:v>
      </x:c>
      <x:c r="B220" t="str">
        <x:v>Email</x:v>
      </x:c>
      <x:c r="C220" t="str">
        <x:v>Summer Sale</x:v>
      </x:c>
      <x:c r="D220" t="n">
        <x:v>3302.83</x:v>
      </x:c>
      <x:c r="E220" t="n">
        <x:v>118439</x:v>
      </x:c>
      <x:c r="F220" t="n">
        <x:v>6567</x:v>
      </x:c>
      <x:c r="G220" t="n">
        <x:v>964</x:v>
      </x:c>
      <x:c r="H220" t="n">
        <x:v>395</x:v>
      </x:c>
      <x:c r="I220" t="n">
        <x:v>158</x:v>
      </x:c>
      <x:c r="J220" t="n">
        <x:v>1012566.13</x:v>
      </x:c>
    </x:row>
    <x:row r="221">
      <x:c r="A221" t="str">
        <x:v>2026-03-16</x:v>
      </x:c>
      <x:c r="B221" t="str">
        <x:v>Paid Search</x:v>
      </x:c>
      <x:c r="C221" t="str">
        <x:v>New Product</x:v>
      </x:c>
      <x:c r="D221" t="n">
        <x:v>1896.47</x:v>
      </x:c>
      <x:c r="E221" t="n">
        <x:v>8360</x:v>
      </x:c>
      <x:c r="F221" t="n">
        <x:v>297</x:v>
      </x:c>
      <x:c r="G221" t="n">
        <x:v>32</x:v>
      </x:c>
      <x:c r="H221" t="n">
        <x:v>4</x:v>
      </x:c>
      <x:c r="I221" t="n">
        <x:v>2</x:v>
      </x:c>
      <x:c r="J221" t="n">
        <x:v>4994.91</x:v>
      </x:c>
    </x:row>
    <x:row r="222">
      <x:c r="A222" t="str">
        <x:v>2026-02-16</x:v>
      </x:c>
      <x:c r="B222" t="str">
        <x:v>Paid Social</x:v>
      </x:c>
      <x:c r="C222" t="str">
        <x:v>Brand</x:v>
      </x:c>
      <x:c r="D222" t="n">
        <x:v>1385.27</x:v>
      </x:c>
      <x:c r="E222" t="n">
        <x:v>77792</x:v>
      </x:c>
      <x:c r="F222" t="n">
        <x:v>3927</x:v>
      </x:c>
      <x:c r="G222" t="n">
        <x:v>135</x:v>
      </x:c>
      <x:c r="H222" t="n">
        <x:v>24</x:v>
      </x:c>
      <x:c r="I222" t="n">
        <x:v>10</x:v>
      </x:c>
      <x:c r="J222" t="n">
        <x:v>23314.93</x:v>
      </x:c>
    </x:row>
    <x:row r="223">
      <x:c r="A223" t="str">
        <x:v>2026-01-05</x:v>
      </x:c>
      <x:c r="B223" t="str">
        <x:v>Affiliate</x:v>
      </x:c>
      <x:c r="C223" t="str">
        <x:v>Loyalty</x:v>
      </x:c>
      <x:c r="D223" t="n">
        <x:v>1962.97</x:v>
      </x:c>
      <x:c r="E223" t="n">
        <x:v>36243</x:v>
      </x:c>
      <x:c r="F223" t="n">
        <x:v>1614</x:v>
      </x:c>
      <x:c r="G223" t="n">
        <x:v>73</x:v>
      </x:c>
      <x:c r="H223" t="n">
        <x:v>29</x:v>
      </x:c>
      <x:c r="I223" t="n">
        <x:v>13</x:v>
      </x:c>
      <x:c r="J223" t="n">
        <x:v>19005.86</x:v>
      </x:c>
    </x:row>
    <x:row r="224">
      <x:c r="A224" t="str">
        <x:v>2026-02-01</x:v>
      </x:c>
      <x:c r="B224" t="str">
        <x:v>Organic</x:v>
      </x:c>
      <x:c r="C224" t="str">
        <x:v>New Product</x:v>
      </x:c>
      <x:c r="D224" t="n">
        <x:v>2426.43</x:v>
      </x:c>
      <x:c r="E224" t="n">
        <x:v>104812</x:v>
      </x:c>
      <x:c r="F224" t="n">
        <x:v>2362</x:v>
      </x:c>
      <x:c r="G224" t="n">
        <x:v>114</x:v>
      </x:c>
      <x:c r="H224" t="n">
        <x:v>30</x:v>
      </x:c>
      <x:c r="I224" t="n">
        <x:v>7</x:v>
      </x:c>
      <x:c r="J224" t="n">
        <x:v>32427.57</x:v>
      </x:c>
    </x:row>
    <x:row r="225">
      <x:c r="A225" t="str">
        <x:v>2026-02-28</x:v>
      </x:c>
      <x:c r="B225" t="str">
        <x:v>Paid Social</x:v>
      </x:c>
      <x:c r="C225" t="str">
        <x:v>Loyalty</x:v>
      </x:c>
      <x:c r="D225" t="n">
        <x:v>1955.81</x:v>
      </x:c>
      <x:c r="E225" t="n">
        <x:v>56984</x:v>
      </x:c>
      <x:c r="F225" t="n">
        <x:v>942</x:v>
      </x:c>
      <x:c r="G225" t="n">
        <x:v>144</x:v>
      </x:c>
      <x:c r="H225" t="n">
        <x:v>62</x:v>
      </x:c>
      <x:c r="I225" t="n">
        <x:v>20</x:v>
      </x:c>
      <x:c r="J225" t="n">
        <x:v>72776.15</x:v>
      </x:c>
    </x:row>
    <x:row r="226">
      <x:c r="A226" t="str">
        <x:v>2026-06-04</x:v>
      </x:c>
      <x:c r="B226" t="str">
        <x:v>Affiliate</x:v>
      </x:c>
      <x:c r="C226" t="str">
        <x:v>Brand</x:v>
      </x:c>
      <x:c r="D226" t="n">
        <x:v>1703.41</x:v>
      </x:c>
      <x:c r="E226" t="n">
        <x:v>11811</x:v>
      </x:c>
      <x:c r="F226" t="n">
        <x:v>571</x:v>
      </x:c>
      <x:c r="G226" t="n">
        <x:v>46</x:v>
      </x:c>
      <x:c r="H226" t="n">
        <x:v>10</x:v>
      </x:c>
      <x:c r="I226" t="n">
        <x:v>3</x:v>
      </x:c>
      <x:c r="J226" t="n">
        <x:v>11179.12</x:v>
      </x:c>
    </x:row>
    <x:row r="227">
      <x:c r="A227" t="str">
        <x:v>2026-05-25</x:v>
      </x:c>
      <x:c r="B227" t="str">
        <x:v>Email</x:v>
      </x:c>
      <x:c r="C227" t="str">
        <x:v>New Product</x:v>
      </x:c>
      <x:c r="D227" t="n">
        <x:v>3421</x:v>
      </x:c>
      <x:c r="E227" t="n">
        <x:v>12019</x:v>
      </x:c>
      <x:c r="F227" t="n">
        <x:v>299</x:v>
      </x:c>
      <x:c r="G227" t="n">
        <x:v>15</x:v>
      </x:c>
      <x:c r="H227" t="n">
        <x:v>5</x:v>
      </x:c>
      <x:c r="I227" t="n">
        <x:v>1</x:v>
      </x:c>
      <x:c r="J227" t="n">
        <x:v>6248.88</x:v>
      </x:c>
    </x:row>
    <x:row r="228">
      <x:c r="A228" t="str">
        <x:v>2026-06-19</x:v>
      </x:c>
      <x:c r="B228" t="str">
        <x:v>Paid Search</x:v>
      </x:c>
      <x:c r="C228" t="str">
        <x:v>Retargeting</x:v>
      </x:c>
      <x:c r="D228" t="n">
        <x:v>614.3</x:v>
      </x:c>
      <x:c r="E228" t="n">
        <x:v>29575</x:v>
      </x:c>
      <x:c r="F228" t="n">
        <x:v>343</x:v>
      </x:c>
      <x:c r="G228" t="n">
        <x:v>32</x:v>
      </x:c>
      <x:c r="H228" t="n">
        <x:v>9</x:v>
      </x:c>
      <x:c r="I228" t="n">
        <x:v>1</x:v>
      </x:c>
      <x:c r="J228" t="n">
        <x:v>2008.56</x:v>
      </x:c>
    </x:row>
    <x:row r="229">
      <x:c r="A229" t="str">
        <x:v>2026-04-12</x:v>
      </x:c>
      <x:c r="B229" t="str">
        <x:v>Organic</x:v>
      </x:c>
      <x:c r="C229" t="str">
        <x:v>Brand</x:v>
      </x:c>
      <x:c r="D229" t="n">
        <x:v>3275.22</x:v>
      </x:c>
      <x:c r="E229" t="n">
        <x:v>10277</x:v>
      </x:c>
      <x:c r="F229" t="n">
        <x:v>100</x:v>
      </x:c>
      <x:c r="G229" t="n">
        <x:v>12</x:v>
      </x:c>
      <x:c r="H229" t="n">
        <x:v>2</x:v>
      </x:c>
      <x:c r="I229" t="n">
        <x:v>0</x:v>
      </x:c>
      <x:c r="J229" t="n">
        <x:v>0</x:v>
      </x:c>
    </x:row>
    <x:row r="230">
      <x:c r="A230" t="str">
        <x:v>2026-05-19</x:v>
      </x:c>
      <x:c r="B230" t="str">
        <x:v>Paid Search</x:v>
      </x:c>
      <x:c r="C230" t="str">
        <x:v>Loyalty</x:v>
      </x:c>
      <x:c r="D230" t="n">
        <x:v>581.92</x:v>
      </x:c>
      <x:c r="E230" t="n">
        <x:v>20951</x:v>
      </x:c>
      <x:c r="F230" t="n">
        <x:v>734</x:v>
      </x:c>
      <x:c r="G230" t="n">
        <x:v>69</x:v>
      </x:c>
      <x:c r="H230" t="n">
        <x:v>30</x:v>
      </x:c>
      <x:c r="I230" t="n">
        <x:v>9</x:v>
      </x:c>
      <x:c r="J230" t="n">
        <x:v>26742.49</x:v>
      </x:c>
    </x:row>
    <x:row r="231">
      <x:c r="A231" t="str">
        <x:v>2026-06-15</x:v>
      </x:c>
      <x:c r="B231" t="str">
        <x:v>Paid Social</x:v>
      </x:c>
      <x:c r="C231" t="str">
        <x:v>Brand</x:v>
      </x:c>
      <x:c r="D231" t="n">
        <x:v>429.29</x:v>
      </x:c>
      <x:c r="E231" t="n">
        <x:v>72342</x:v>
      </x:c>
      <x:c r="F231" t="n">
        <x:v>3969</x:v>
      </x:c>
      <x:c r="G231" t="n">
        <x:v>169</x:v>
      </x:c>
      <x:c r="H231" t="n">
        <x:v>55</x:v>
      </x:c>
      <x:c r="I231" t="n">
        <x:v>28</x:v>
      </x:c>
      <x:c r="J231" t="n">
        <x:v>105052.29</x:v>
      </x:c>
    </x:row>
    <x:row r="232">
      <x:c r="A232" t="str">
        <x:v>2026-05-11</x:v>
      </x:c>
      <x:c r="B232" t="str">
        <x:v>Paid Social</x:v>
      </x:c>
      <x:c r="C232" t="str">
        <x:v>Retargeting</x:v>
      </x:c>
      <x:c r="D232" t="n">
        <x:v>3679.24</x:v>
      </x:c>
      <x:c r="E232" t="n">
        <x:v>80673</x:v>
      </x:c>
      <x:c r="F232" t="n">
        <x:v>1854</x:v>
      </x:c>
      <x:c r="G232" t="n">
        <x:v>123</x:v>
      </x:c>
      <x:c r="H232" t="n">
        <x:v>21</x:v>
      </x:c>
      <x:c r="I232" t="n">
        <x:v>8</x:v>
      </x:c>
      <x:c r="J232" t="n">
        <x:v>48564.27</x:v>
      </x:c>
    </x:row>
    <x:row r="233">
      <x:c r="A233" t="str">
        <x:v>2026-06-06</x:v>
      </x:c>
      <x:c r="B233" t="str">
        <x:v>Affiliate</x:v>
      </x:c>
      <x:c r="C233" t="str">
        <x:v>Summer Sale</x:v>
      </x:c>
      <x:c r="D233" t="n">
        <x:v>2671.36</x:v>
      </x:c>
      <x:c r="E233" t="n">
        <x:v>31370</x:v>
      </x:c>
      <x:c r="F233" t="n">
        <x:v>1145</x:v>
      </x:c>
      <x:c r="G233" t="n">
        <x:v>97</x:v>
      </x:c>
      <x:c r="H233" t="n">
        <x:v>40</x:v>
      </x:c>
      <x:c r="I233" t="n">
        <x:v>12</x:v>
      </x:c>
      <x:c r="J233" t="n">
        <x:v>47658.77</x:v>
      </x:c>
    </x:row>
    <x:row r="234">
      <x:c r="A234" t="str">
        <x:v>2026-07-29</x:v>
      </x:c>
      <x:c r="B234" t="str">
        <x:v>Email</x:v>
      </x:c>
      <x:c r="C234" t="str">
        <x:v>Brand</x:v>
      </x:c>
      <x:c r="D234" t="n">
        <x:v>1120.57</x:v>
      </x:c>
      <x:c r="E234" t="n">
        <x:v>34043</x:v>
      </x:c>
      <x:c r="F234" t="n">
        <x:v>606</x:v>
      </x:c>
      <x:c r="G234" t="n">
        <x:v>67</x:v>
      </x:c>
      <x:c r="H234" t="n">
        <x:v>29</x:v>
      </x:c>
      <x:c r="I234" t="n">
        <x:v>9</x:v>
      </x:c>
      <x:c r="J234" t="n">
        <x:v>59042.82</x:v>
      </x:c>
    </x:row>
    <x:row r="235">
      <x:c r="A235" t="str">
        <x:v>2026-02-11</x:v>
      </x:c>
      <x:c r="B235" t="str">
        <x:v>Paid Social</x:v>
      </x:c>
      <x:c r="C235" t="str">
        <x:v>Retargeting</x:v>
      </x:c>
      <x:c r="D235" t="n">
        <x:v>2315.28</x:v>
      </x:c>
      <x:c r="E235" t="n">
        <x:v>69409</x:v>
      </x:c>
      <x:c r="F235" t="n">
        <x:v>1529</x:v>
      </x:c>
      <x:c r="G235" t="n">
        <x:v>247</x:v>
      </x:c>
      <x:c r="H235" t="n">
        <x:v>53</x:v>
      </x:c>
      <x:c r="I235" t="n">
        <x:v>11</x:v>
      </x:c>
      <x:c r="J235" t="n">
        <x:v>14589.93</x:v>
      </x:c>
    </x:row>
    <x:row r="236">
      <x:c r="A236" t="str">
        <x:v>2026-05-22</x:v>
      </x:c>
      <x:c r="B236" t="str">
        <x:v>Paid Search</x:v>
      </x:c>
      <x:c r="C236" t="str">
        <x:v>Loyalty</x:v>
      </x:c>
      <x:c r="D236" t="n">
        <x:v>3510.84</x:v>
      </x:c>
      <x:c r="E236" t="n">
        <x:v>62669</x:v>
      </x:c>
      <x:c r="F236" t="n">
        <x:v>2644</x:v>
      </x:c>
      <x:c r="G236" t="n">
        <x:v>284</x:v>
      </x:c>
      <x:c r="H236" t="n">
        <x:v>113</x:v>
      </x:c>
      <x:c r="I236" t="n">
        <x:v>36</x:v>
      </x:c>
      <x:c r="J236" t="n">
        <x:v>202482.19</x:v>
      </x:c>
    </x:row>
    <x:row r="237">
      <x:c r="A237" t="str">
        <x:v>2026-05-14</x:v>
      </x:c>
      <x:c r="B237" t="str">
        <x:v>Paid Social</x:v>
      </x:c>
      <x:c r="C237" t="str">
        <x:v>Summer Sale</x:v>
      </x:c>
      <x:c r="D237" t="n">
        <x:v>1783.66</x:v>
      </x:c>
      <x:c r="E237" t="n">
        <x:v>92587</x:v>
      </x:c>
      <x:c r="F237" t="n">
        <x:v>2437</x:v>
      </x:c>
      <x:c r="G237" t="n">
        <x:v>319</x:v>
      </x:c>
      <x:c r="H237" t="n">
        <x:v>106</x:v>
      </x:c>
      <x:c r="I237" t="n">
        <x:v>52</x:v>
      </x:c>
      <x:c r="J237" t="n">
        <x:v>310072</x:v>
      </x:c>
    </x:row>
    <x:row r="238">
      <x:c r="A238" t="str">
        <x:v>2026-05-13</x:v>
      </x:c>
      <x:c r="B238" t="str">
        <x:v>Paid Search</x:v>
      </x:c>
      <x:c r="C238" t="str">
        <x:v>New Product</x:v>
      </x:c>
      <x:c r="D238" t="n">
        <x:v>1220.99</x:v>
      </x:c>
      <x:c r="E238" t="n">
        <x:v>87662</x:v>
      </x:c>
      <x:c r="F238" t="n">
        <x:v>3931</x:v>
      </x:c>
      <x:c r="G238" t="n">
        <x:v>657</x:v>
      </x:c>
      <x:c r="H238" t="n">
        <x:v>123</x:v>
      </x:c>
      <x:c r="I238" t="n">
        <x:v>62</x:v>
      </x:c>
      <x:c r="J238" t="n">
        <x:v>75954.84</x:v>
      </x:c>
    </x:row>
    <x:row r="239">
      <x:c r="A239" t="str">
        <x:v>2026-07-16</x:v>
      </x:c>
      <x:c r="B239" t="str">
        <x:v>Affiliate</x:v>
      </x:c>
      <x:c r="C239" t="str">
        <x:v>Loyalty</x:v>
      </x:c>
      <x:c r="D239" t="n">
        <x:v>646.3</x:v>
      </x:c>
      <x:c r="E239" t="n">
        <x:v>57100</x:v>
      </x:c>
      <x:c r="F239" t="n">
        <x:v>3315</x:v>
      </x:c>
      <x:c r="G239" t="n">
        <x:v>383</x:v>
      </x:c>
      <x:c r="H239" t="n">
        <x:v>105</x:v>
      </x:c>
      <x:c r="I239" t="n">
        <x:v>49</x:v>
      </x:c>
      <x:c r="J239" t="n">
        <x:v>306838.75</x:v>
      </x:c>
    </x:row>
    <x:row r="240">
      <x:c r="A240" t="str">
        <x:v>2026-06-05</x:v>
      </x:c>
      <x:c r="B240" t="str">
        <x:v>Paid Search</x:v>
      </x:c>
      <x:c r="C240" t="str">
        <x:v>New Product</x:v>
      </x:c>
      <x:c r="D240" t="n">
        <x:v>3436.4</x:v>
      </x:c>
      <x:c r="E240" t="n">
        <x:v>95786</x:v>
      </x:c>
      <x:c r="F240" t="n">
        <x:v>3047</x:v>
      </x:c>
      <x:c r="G240" t="n">
        <x:v>421</x:v>
      </x:c>
      <x:c r="H240" t="n">
        <x:v>100</x:v>
      </x:c>
      <x:c r="I240" t="n">
        <x:v>33</x:v>
      </x:c>
      <x:c r="J240" t="n">
        <x:v>145894.31</x:v>
      </x:c>
    </x:row>
    <x:row r="241">
      <x:c r="A241" t="str">
        <x:v>2026-04-09</x:v>
      </x:c>
      <x:c r="B241" t="str">
        <x:v>Email</x:v>
      </x:c>
      <x:c r="C241" t="str">
        <x:v>Brand</x:v>
      </x:c>
      <x:c r="D241" t="n">
        <x:v>3190.9</x:v>
      </x:c>
      <x:c r="E241" t="n">
        <x:v>116354</x:v>
      </x:c>
      <x:c r="F241" t="n">
        <x:v>6919</x:v>
      </x:c>
      <x:c r="G241" t="n">
        <x:v>602</x:v>
      </x:c>
      <x:c r="H241" t="n">
        <x:v>144</x:v>
      </x:c>
      <x:c r="I241" t="n">
        <x:v>55</x:v>
      </x:c>
      <x:c r="J241" t="n">
        <x:v>322141.89</x:v>
      </x:c>
    </x:row>
    <x:row r="242">
      <x:c r="A242" t="str">
        <x:v>2026-04-22</x:v>
      </x:c>
      <x:c r="B242" t="str">
        <x:v>Affiliate</x:v>
      </x:c>
      <x:c r="C242" t="str">
        <x:v>New Product</x:v>
      </x:c>
      <x:c r="D242" t="n">
        <x:v>2410.01</x:v>
      </x:c>
      <x:c r="E242" t="n">
        <x:v>16525</x:v>
      </x:c>
      <x:c r="F242" t="n">
        <x:v>838</x:v>
      </x:c>
      <x:c r="G242" t="n">
        <x:v>66</x:v>
      </x:c>
      <x:c r="H242" t="n">
        <x:v>29</x:v>
      </x:c>
      <x:c r="I242" t="n">
        <x:v>11</x:v>
      </x:c>
      <x:c r="J242" t="n">
        <x:v>28681.25</x:v>
      </x:c>
    </x:row>
    <x:row r="243">
      <x:c r="A243" t="str">
        <x:v>2026-03-25</x:v>
      </x:c>
      <x:c r="B243" t="str">
        <x:v>Paid Social</x:v>
      </x:c>
      <x:c r="C243" t="str">
        <x:v>New Product</x:v>
      </x:c>
      <x:c r="D243" t="n">
        <x:v>3586.76</x:v>
      </x:c>
      <x:c r="E243" t="n">
        <x:v>6401</x:v>
      </x:c>
      <x:c r="F243" t="n">
        <x:v>59</x:v>
      </x:c>
      <x:c r="G243" t="n">
        <x:v>4</x:v>
      </x:c>
      <x:c r="H243" t="n">
        <x:v>1</x:v>
      </x:c>
      <x:c r="I243" t="n">
        <x:v>0</x:v>
      </x:c>
      <x:c r="J243" t="n">
        <x:v>0</x:v>
      </x:c>
    </x:row>
    <x:row r="244">
      <x:c r="A244" t="str">
        <x:v>2026-03-21</x:v>
      </x:c>
      <x:c r="B244" t="str">
        <x:v>Affiliate</x:v>
      </x:c>
      <x:c r="C244" t="str">
        <x:v>Loyalty</x:v>
      </x:c>
      <x:c r="D244" t="n">
        <x:v>3993.64</x:v>
      </x:c>
      <x:c r="E244" t="n">
        <x:v>72822</x:v>
      </x:c>
      <x:c r="F244" t="n">
        <x:v>3709</x:v>
      </x:c>
      <x:c r="G244" t="n">
        <x:v>515</x:v>
      </x:c>
      <x:c r="H244" t="n">
        <x:v>143</x:v>
      </x:c>
      <x:c r="I244" t="n">
        <x:v>51</x:v>
      </x:c>
      <x:c r="J244" t="n">
        <x:v>73242.59</x:v>
      </x:c>
    </x:row>
    <x:row r="245">
      <x:c r="A245" t="str">
        <x:v>2026-06-23</x:v>
      </x:c>
      <x:c r="B245" t="str">
        <x:v>Email</x:v>
      </x:c>
      <x:c r="C245" t="str">
        <x:v>New Product</x:v>
      </x:c>
      <x:c r="D245" t="n">
        <x:v>3802.02</x:v>
      </x:c>
      <x:c r="E245" t="n">
        <x:v>93667</x:v>
      </x:c>
      <x:c r="F245" t="n">
        <x:v>1081</x:v>
      </x:c>
      <x:c r="G245" t="n">
        <x:v>69</x:v>
      </x:c>
      <x:c r="H245" t="n">
        <x:v>18</x:v>
      </x:c>
      <x:c r="I245" t="n">
        <x:v>6</x:v>
      </x:c>
      <x:c r="J245" t="n">
        <x:v>29769.06</x:v>
      </x:c>
    </x:row>
    <x:row r="246">
      <x:c r="A246" t="str">
        <x:v>2026-05-27</x:v>
      </x:c>
      <x:c r="B246" t="str">
        <x:v>Paid Social</x:v>
      </x:c>
      <x:c r="C246" t="str">
        <x:v>Summer Sale</x:v>
      </x:c>
      <x:c r="D246" t="n">
        <x:v>3864.99</x:v>
      </x:c>
      <x:c r="E246" t="n">
        <x:v>68794</x:v>
      </x:c>
      <x:c r="F246" t="n">
        <x:v>1987</x:v>
      </x:c>
      <x:c r="G246" t="n">
        <x:v>288</x:v>
      </x:c>
      <x:c r="H246" t="n">
        <x:v>120</x:v>
      </x:c>
      <x:c r="I246" t="n">
        <x:v>48</x:v>
      </x:c>
      <x:c r="J246" t="n">
        <x:v>250135.35</x:v>
      </x:c>
    </x:row>
    <x:row r="247">
      <x:c r="A247" t="str">
        <x:v>2026-07-11</x:v>
      </x:c>
      <x:c r="B247" t="str">
        <x:v>Paid Search</x:v>
      </x:c>
      <x:c r="C247" t="str">
        <x:v>Summer Sale</x:v>
      </x:c>
      <x:c r="D247" t="n">
        <x:v>1578.32</x:v>
      </x:c>
      <x:c r="E247" t="n">
        <x:v>53058</x:v>
      </x:c>
      <x:c r="F247" t="n">
        <x:v>3123</x:v>
      </x:c>
      <x:c r="G247" t="n">
        <x:v>480</x:v>
      </x:c>
      <x:c r="H247" t="n">
        <x:v>145</x:v>
      </x:c>
      <x:c r="I247" t="n">
        <x:v>34</x:v>
      </x:c>
      <x:c r="J247" t="n">
        <x:v>217197.58</x:v>
      </x:c>
    </x:row>
    <x:row r="248">
      <x:c r="A248" t="str">
        <x:v>2026-06-26</x:v>
      </x:c>
      <x:c r="B248" t="str">
        <x:v>Email</x:v>
      </x:c>
      <x:c r="C248" t="str">
        <x:v>Loyalty</x:v>
      </x:c>
      <x:c r="D248" t="n">
        <x:v>3574.95</x:v>
      </x:c>
      <x:c r="E248" t="n">
        <x:v>60166</x:v>
      </x:c>
      <x:c r="F248" t="n">
        <x:v>2455</x:v>
      </x:c>
      <x:c r="G248" t="n">
        <x:v>266</x:v>
      </x:c>
      <x:c r="H248" t="n">
        <x:v>105</x:v>
      </x:c>
      <x:c r="I248" t="n">
        <x:v>28</x:v>
      </x:c>
      <x:c r="J248" t="n">
        <x:v>178646.13</x:v>
      </x:c>
    </x:row>
    <x:row r="249">
      <x:c r="A249" t="str">
        <x:v>2026-04-16</x:v>
      </x:c>
      <x:c r="B249" t="str">
        <x:v>Paid Social</x:v>
      </x:c>
      <x:c r="C249" t="str">
        <x:v>Brand</x:v>
      </x:c>
      <x:c r="D249" t="n">
        <x:v>2594.37</x:v>
      </x:c>
      <x:c r="E249" t="n">
        <x:v>84053</x:v>
      </x:c>
      <x:c r="F249" t="n">
        <x:v>1138</x:v>
      </x:c>
      <x:c r="G249" t="n">
        <x:v>131</x:v>
      </x:c>
      <x:c r="H249" t="n">
        <x:v>44</x:v>
      </x:c>
      <x:c r="I249" t="n">
        <x:v>19</x:v>
      </x:c>
      <x:c r="J249" t="n">
        <x:v>99029.65</x:v>
      </x:c>
    </x:row>
    <x:row r="250">
      <x:c r="A250" t="str">
        <x:v>2026-01-03</x:v>
      </x:c>
      <x:c r="B250" t="str">
        <x:v>Paid Search</x:v>
      </x:c>
      <x:c r="C250" t="str">
        <x:v>Retargeting</x:v>
      </x:c>
      <x:c r="D250" t="n">
        <x:v>2900.42</x:v>
      </x:c>
      <x:c r="E250" t="n">
        <x:v>77473</x:v>
      </x:c>
      <x:c r="F250" t="n">
        <x:v>635</x:v>
      </x:c>
      <x:c r="G250" t="n">
        <x:v>48</x:v>
      </x:c>
      <x:c r="H250" t="n">
        <x:v>19</x:v>
      </x:c>
      <x:c r="I250" t="n">
        <x:v>7</x:v>
      </x:c>
      <x:c r="J250" t="n">
        <x:v>35525.12</x:v>
      </x:c>
    </x:row>
    <x:row r="251">
      <x:c r="A251" t="str">
        <x:v>2026-02-20</x:v>
      </x:c>
      <x:c r="B251" t="str">
        <x:v>Paid Social</x:v>
      </x:c>
      <x:c r="C251" t="str">
        <x:v>New Product</x:v>
      </x:c>
      <x:c r="D251" t="n">
        <x:v>3122.07</x:v>
      </x:c>
      <x:c r="E251" t="n">
        <x:v>79321</x:v>
      </x:c>
      <x:c r="F251" t="n">
        <x:v>1731</x:v>
      </x:c>
      <x:c r="G251" t="n">
        <x:v>219</x:v>
      </x:c>
      <x:c r="H251" t="n">
        <x:v>67</x:v>
      </x:c>
      <x:c r="I251" t="n">
        <x:v>36</x:v>
      </x:c>
      <x:c r="J251" t="n">
        <x:v>163148.86</x:v>
      </x:c>
    </x:row>
    <x:row r="252">
      <x:c r="A252" t="str">
        <x:v>2026-04-16</x:v>
      </x:c>
      <x:c r="B252" t="str">
        <x:v>Affiliate</x:v>
      </x:c>
      <x:c r="C252" t="str">
        <x:v>Brand</x:v>
      </x:c>
      <x:c r="D252" t="n">
        <x:v>752.34</x:v>
      </x:c>
      <x:c r="E252" t="n">
        <x:v>72950</x:v>
      </x:c>
      <x:c r="F252" t="n">
        <x:v>3464</x:v>
      </x:c>
      <x:c r="G252" t="n">
        <x:v>159</x:v>
      </x:c>
      <x:c r="H252" t="n">
        <x:v>28</x:v>
      </x:c>
      <x:c r="I252" t="n">
        <x:v>7</x:v>
      </x:c>
      <x:c r="J252" t="n">
        <x:v>29613.3</x:v>
      </x:c>
    </x:row>
    <x:row r="253">
      <x:c r="A253" t="str">
        <x:v>2026-04-30</x:v>
      </x:c>
      <x:c r="B253" t="str">
        <x:v>Affiliate</x:v>
      </x:c>
      <x:c r="C253" t="str">
        <x:v>New Product</x:v>
      </x:c>
      <x:c r="D253" t="n">
        <x:v>3265.08</x:v>
      </x:c>
      <x:c r="E253" t="n">
        <x:v>13141</x:v>
      </x:c>
      <x:c r="F253" t="n">
        <x:v>549</x:v>
      </x:c>
      <x:c r="G253" t="n">
        <x:v>72</x:v>
      </x:c>
      <x:c r="H253" t="n">
        <x:v>23</x:v>
      </x:c>
      <x:c r="I253" t="n">
        <x:v>5</x:v>
      </x:c>
      <x:c r="J253" t="n">
        <x:v>12909.62</x:v>
      </x:c>
    </x:row>
    <x:row r="254">
      <x:c r="A254" t="str">
        <x:v>2026-03-12</x:v>
      </x:c>
      <x:c r="B254" t="str">
        <x:v>Paid Social</x:v>
      </x:c>
      <x:c r="C254" t="str">
        <x:v>Brand</x:v>
      </x:c>
      <x:c r="D254" t="n">
        <x:v>1213.12</x:v>
      </x:c>
      <x:c r="E254" t="n">
        <x:v>18035</x:v>
      </x:c>
      <x:c r="F254" t="n">
        <x:v>950</x:v>
      </x:c>
      <x:c r="G254" t="n">
        <x:v>163</x:v>
      </x:c>
      <x:c r="H254" t="n">
        <x:v>27</x:v>
      </x:c>
      <x:c r="I254" t="n">
        <x:v>7</x:v>
      </x:c>
      <x:c r="J254" t="n">
        <x:v>33734.51</x:v>
      </x:c>
    </x:row>
    <x:row r="255">
      <x:c r="A255" t="str">
        <x:v>2026-01-06</x:v>
      </x:c>
      <x:c r="B255" t="str">
        <x:v>Paid Search</x:v>
      </x:c>
      <x:c r="C255" t="str">
        <x:v>Summer Sale</x:v>
      </x:c>
      <x:c r="D255" t="n">
        <x:v>3584.05</x:v>
      </x:c>
      <x:c r="E255" t="n">
        <x:v>81370</x:v>
      </x:c>
      <x:c r="F255" t="n">
        <x:v>3883</x:v>
      </x:c>
      <x:c r="G255" t="n">
        <x:v>142</x:v>
      </x:c>
      <x:c r="H255" t="n">
        <x:v>23</x:v>
      </x:c>
      <x:c r="I255" t="n">
        <x:v>6</x:v>
      </x:c>
      <x:c r="J255" t="n">
        <x:v>14956.9</x:v>
      </x:c>
    </x:row>
    <x:row r="256">
      <x:c r="A256" t="str">
        <x:v>2026-02-10</x:v>
      </x:c>
      <x:c r="B256" t="str">
        <x:v>Affiliate</x:v>
      </x:c>
      <x:c r="C256" t="str">
        <x:v>Summer Sale</x:v>
      </x:c>
      <x:c r="D256" t="n">
        <x:v>1396.22</x:v>
      </x:c>
      <x:c r="E256" t="n">
        <x:v>118637</x:v>
      </x:c>
      <x:c r="F256" t="n">
        <x:v>5982</x:v>
      </x:c>
      <x:c r="G256" t="n">
        <x:v>451</x:v>
      </x:c>
      <x:c r="H256" t="n">
        <x:v>149</x:v>
      </x:c>
      <x:c r="I256" t="n">
        <x:v>79</x:v>
      </x:c>
      <x:c r="J256" t="n">
        <x:v>321861.87</x:v>
      </x:c>
    </x:row>
    <x:row r="257">
      <x:c r="A257" t="str">
        <x:v>2026-01-18</x:v>
      </x:c>
      <x:c r="B257" t="str">
        <x:v>Paid Social</x:v>
      </x:c>
      <x:c r="C257" t="str">
        <x:v>New Product</x:v>
      </x:c>
      <x:c r="D257" t="n">
        <x:v>2764.66</x:v>
      </x:c>
      <x:c r="E257" t="n">
        <x:v>81653</x:v>
      </x:c>
      <x:c r="F257" t="n">
        <x:v>1593</x:v>
      </x:c>
      <x:c r="G257" t="n">
        <x:v>121</x:v>
      </x:c>
      <x:c r="H257" t="n">
        <x:v>49</x:v>
      </x:c>
      <x:c r="I257" t="n">
        <x:v>18</x:v>
      </x:c>
      <x:c r="J257" t="n">
        <x:v>104363.77</x:v>
      </x:c>
    </x:row>
    <x:row r="258">
      <x:c r="A258" t="str">
        <x:v>2026-03-04</x:v>
      </x:c>
      <x:c r="B258" t="str">
        <x:v>Paid Search</x:v>
      </x:c>
      <x:c r="C258" t="str">
        <x:v>Summer Sale</x:v>
      </x:c>
      <x:c r="D258" t="n">
        <x:v>845.71</x:v>
      </x:c>
      <x:c r="E258" t="n">
        <x:v>54677</x:v>
      </x:c>
      <x:c r="F258" t="n">
        <x:v>967</x:v>
      </x:c>
      <x:c r="G258" t="n">
        <x:v>169</x:v>
      </x:c>
      <x:c r="H258" t="n">
        <x:v>40</x:v>
      </x:c>
      <x:c r="I258" t="n">
        <x:v>15</x:v>
      </x:c>
      <x:c r="J258" t="n">
        <x:v>27995.11</x:v>
      </x:c>
    </x:row>
    <x:row r="259">
      <x:c r="A259" t="str">
        <x:v>2026-05-17</x:v>
      </x:c>
      <x:c r="B259" t="str">
        <x:v>Organic</x:v>
      </x:c>
      <x:c r="C259" t="str">
        <x:v>Retargeting</x:v>
      </x:c>
      <x:c r="D259" t="n">
        <x:v>1732.15</x:v>
      </x:c>
      <x:c r="E259" t="n">
        <x:v>13578</x:v>
      </x:c>
      <x:c r="F259" t="n">
        <x:v>787</x:v>
      </x:c>
      <x:c r="G259" t="n">
        <x:v>73</x:v>
      </x:c>
      <x:c r="H259" t="n">
        <x:v>30</x:v>
      </x:c>
      <x:c r="I259" t="n">
        <x:v>11</x:v>
      </x:c>
      <x:c r="J259" t="n">
        <x:v>37913.8</x:v>
      </x:c>
    </x:row>
    <x:row r="260">
      <x:c r="A260" t="str">
        <x:v>2026-04-30</x:v>
      </x:c>
      <x:c r="B260" t="str">
        <x:v>Email</x:v>
      </x:c>
      <x:c r="C260" t="str">
        <x:v>Retargeting</x:v>
      </x:c>
      <x:c r="D260" t="n">
        <x:v>1101.26</x:v>
      </x:c>
      <x:c r="E260" t="n">
        <x:v>9576</x:v>
      </x:c>
      <x:c r="F260" t="n">
        <x:v>215</x:v>
      </x:c>
      <x:c r="G260" t="n">
        <x:v>7</x:v>
      </x:c>
      <x:c r="H260" t="n">
        <x:v>2</x:v>
      </x:c>
      <x:c r="I260" t="n">
        <x:v>0</x:v>
      </x:c>
      <x:c r="J260" t="n">
        <x:v>0</x:v>
      </x:c>
    </x:row>
    <x:row r="261">
      <x:c r="A261" t="str">
        <x:v>2026-02-20</x:v>
      </x:c>
      <x:c r="B261" t="str">
        <x:v>Email</x:v>
      </x:c>
      <x:c r="C261" t="str">
        <x:v>Loyalty</x:v>
      </x:c>
      <x:c r="D261" t="n">
        <x:v>3373.03</x:v>
      </x:c>
      <x:c r="E261" t="n">
        <x:v>21750</x:v>
      </x:c>
      <x:c r="F261" t="n">
        <x:v>801</x:v>
      </x:c>
      <x:c r="G261" t="n">
        <x:v>80</x:v>
      </x:c>
      <x:c r="H261" t="n">
        <x:v>31</x:v>
      </x:c>
      <x:c r="I261" t="n">
        <x:v>8</x:v>
      </x:c>
      <x:c r="J261" t="n">
        <x:v>26671.36</x:v>
      </x:c>
    </x:row>
    <x:row r="262">
      <x:c r="A262" t="str">
        <x:v>2026-02-25</x:v>
      </x:c>
      <x:c r="B262" t="str">
        <x:v>Organic</x:v>
      </x:c>
      <x:c r="C262" t="str">
        <x:v>New Product</x:v>
      </x:c>
      <x:c r="D262" t="n">
        <x:v>2591.51</x:v>
      </x:c>
      <x:c r="E262" t="n">
        <x:v>81119</x:v>
      </x:c>
      <x:c r="F262" t="n">
        <x:v>1526</x:v>
      </x:c>
      <x:c r="G262" t="n">
        <x:v>263</x:v>
      </x:c>
      <x:c r="H262" t="n">
        <x:v>79</x:v>
      </x:c>
      <x:c r="I262" t="n">
        <x:v>22</x:v>
      </x:c>
      <x:c r="J262" t="n">
        <x:v>84163.52</x:v>
      </x:c>
    </x:row>
    <x:row r="263">
      <x:c r="A263" t="str">
        <x:v>2026-02-03</x:v>
      </x:c>
      <x:c r="B263" t="str">
        <x:v>Email</x:v>
      </x:c>
      <x:c r="C263" t="str">
        <x:v>Loyalty</x:v>
      </x:c>
      <x:c r="D263" t="n">
        <x:v>3618.55</x:v>
      </x:c>
      <x:c r="E263" t="n">
        <x:v>82013</x:v>
      </x:c>
      <x:c r="F263" t="n">
        <x:v>4878</x:v>
      </x:c>
      <x:c r="G263" t="n">
        <x:v>537</x:v>
      </x:c>
      <x:c r="H263" t="n">
        <x:v>145</x:v>
      </x:c>
      <x:c r="I263" t="n">
        <x:v>54</x:v>
      </x:c>
      <x:c r="J263" t="n">
        <x:v>104111.82</x:v>
      </x:c>
    </x:row>
    <x:row r="264">
      <x:c r="A264" t="str">
        <x:v>2026-07-12</x:v>
      </x:c>
      <x:c r="B264" t="str">
        <x:v>Paid Search</x:v>
      </x:c>
      <x:c r="C264" t="str">
        <x:v>Loyalty</x:v>
      </x:c>
      <x:c r="D264" t="n">
        <x:v>547.58</x:v>
      </x:c>
      <x:c r="E264" t="n">
        <x:v>116654</x:v>
      </x:c>
      <x:c r="F264" t="n">
        <x:v>2573</x:v>
      </x:c>
      <x:c r="G264" t="n">
        <x:v>375</x:v>
      </x:c>
      <x:c r="H264" t="n">
        <x:v>99</x:v>
      </x:c>
      <x:c r="I264" t="n">
        <x:v>42</x:v>
      </x:c>
      <x:c r="J264" t="n">
        <x:v>188687.09</x:v>
      </x:c>
    </x:row>
    <x:row r="265">
      <x:c r="A265" t="str">
        <x:v>2026-03-21</x:v>
      </x:c>
      <x:c r="B265" t="str">
        <x:v>Paid Search</x:v>
      </x:c>
      <x:c r="C265" t="str">
        <x:v>New Product</x:v>
      </x:c>
      <x:c r="D265" t="n">
        <x:v>2900.68</x:v>
      </x:c>
      <x:c r="E265" t="n">
        <x:v>96050</x:v>
      </x:c>
      <x:c r="F265" t="n">
        <x:v>1652</x:v>
      </x:c>
      <x:c r="G265" t="n">
        <x:v>260</x:v>
      </x:c>
      <x:c r="H265" t="n">
        <x:v>64</x:v>
      </x:c>
      <x:c r="I265" t="n">
        <x:v>27</x:v>
      </x:c>
      <x:c r="J265" t="n">
        <x:v>49463.34</x:v>
      </x:c>
    </x:row>
    <x:row r="266">
      <x:c r="A266" t="str">
        <x:v>2026-05-24</x:v>
      </x:c>
      <x:c r="B266" t="str">
        <x:v>Email</x:v>
      </x:c>
      <x:c r="C266" t="str">
        <x:v>Loyalty</x:v>
      </x:c>
      <x:c r="D266" t="n">
        <x:v>3082.12</x:v>
      </x:c>
      <x:c r="E266" t="n">
        <x:v>30273</x:v>
      </x:c>
      <x:c r="F266" t="n">
        <x:v>345</x:v>
      </x:c>
      <x:c r="G266" t="n">
        <x:v>26</x:v>
      </x:c>
      <x:c r="H266" t="n">
        <x:v>5</x:v>
      </x:c>
      <x:c r="I266" t="n">
        <x:v>1</x:v>
      </x:c>
      <x:c r="J266" t="n">
        <x:v>5356.81</x:v>
      </x:c>
    </x:row>
    <x:row r="267">
      <x:c r="A267" t="str">
        <x:v>2026-03-14</x:v>
      </x:c>
      <x:c r="B267" t="str">
        <x:v>Email</x:v>
      </x:c>
      <x:c r="C267" t="str">
        <x:v>New Product</x:v>
      </x:c>
      <x:c r="D267" t="n">
        <x:v>3408.58</x:v>
      </x:c>
      <x:c r="E267" t="n">
        <x:v>65878</x:v>
      </x:c>
      <x:c r="F267" t="n">
        <x:v>3181</x:v>
      </x:c>
      <x:c r="G267" t="n">
        <x:v>516</x:v>
      </x:c>
      <x:c r="H267" t="n">
        <x:v>210</x:v>
      </x:c>
      <x:c r="I267" t="n">
        <x:v>51</x:v>
      </x:c>
      <x:c r="J267" t="n">
        <x:v>142994.92</x:v>
      </x:c>
    </x:row>
    <x:row r="268">
      <x:c r="A268" t="str">
        <x:v>2026-01-08</x:v>
      </x:c>
      <x:c r="B268" t="str">
        <x:v>Email</x:v>
      </x:c>
      <x:c r="C268" t="str">
        <x:v>Retargeting</x:v>
      </x:c>
      <x:c r="D268" t="n">
        <x:v>3608.39</x:v>
      </x:c>
      <x:c r="E268" t="n">
        <x:v>8311</x:v>
      </x:c>
      <x:c r="F268" t="n">
        <x:v>351</x:v>
      </x:c>
      <x:c r="G268" t="n">
        <x:v>47</x:v>
      </x:c>
      <x:c r="H268" t="n">
        <x:v>10</x:v>
      </x:c>
      <x:c r="I268" t="n">
        <x:v>4</x:v>
      </x:c>
      <x:c r="J268" t="n">
        <x:v>12969.03</x:v>
      </x:c>
    </x:row>
    <x:row r="269">
      <x:c r="A269" t="str">
        <x:v>2026-06-10</x:v>
      </x:c>
      <x:c r="B269" t="str">
        <x:v>Paid Search</x:v>
      </x:c>
      <x:c r="C269" t="str">
        <x:v>Summer Sale</x:v>
      </x:c>
      <x:c r="D269" t="n">
        <x:v>1307.61</x:v>
      </x:c>
      <x:c r="E269" t="n">
        <x:v>40505</x:v>
      </x:c>
      <x:c r="F269" t="n">
        <x:v>2246</x:v>
      </x:c>
      <x:c r="G269" t="n">
        <x:v>314</x:v>
      </x:c>
      <x:c r="H269" t="n">
        <x:v>114</x:v>
      </x:c>
      <x:c r="I269" t="n">
        <x:v>24</x:v>
      </x:c>
      <x:c r="J269" t="n">
        <x:v>34367.8</x:v>
      </x:c>
    </x:row>
    <x:row r="270">
      <x:c r="A270" t="str">
        <x:v>2026-02-11</x:v>
      </x:c>
      <x:c r="B270" t="str">
        <x:v>Organic</x:v>
      </x:c>
      <x:c r="C270" t="str">
        <x:v>Summer Sale</x:v>
      </x:c>
      <x:c r="D270" t="n">
        <x:v>3076.45</x:v>
      </x:c>
      <x:c r="E270" t="n">
        <x:v>25472</x:v>
      </x:c>
      <x:c r="F270" t="n">
        <x:v>708</x:v>
      </x:c>
      <x:c r="G270" t="n">
        <x:v>25</x:v>
      </x:c>
      <x:c r="H270" t="n">
        <x:v>6</x:v>
      </x:c>
      <x:c r="I270" t="n">
        <x:v>2</x:v>
      </x:c>
      <x:c r="J270" t="n">
        <x:v>4484.19</x:v>
      </x:c>
    </x:row>
    <x:row r="271">
      <x:c r="A271" t="str">
        <x:v>2026-02-28</x:v>
      </x:c>
      <x:c r="B271" t="str">
        <x:v>Affiliate</x:v>
      </x:c>
      <x:c r="C271" t="str">
        <x:v>New Product</x:v>
      </x:c>
      <x:c r="D271" t="n">
        <x:v>2923.21</x:v>
      </x:c>
      <x:c r="E271" t="n">
        <x:v>38385</x:v>
      </x:c>
      <x:c r="F271" t="n">
        <x:v>2154</x:v>
      </x:c>
      <x:c r="G271" t="n">
        <x:v>281</x:v>
      </x:c>
      <x:c r="H271" t="n">
        <x:v>90</x:v>
      </x:c>
      <x:c r="I271" t="n">
        <x:v>47</x:v>
      </x:c>
      <x:c r="J271" t="n">
        <x:v>86896.34</x:v>
      </x:c>
    </x:row>
    <x:row r="272">
      <x:c r="A272" t="str">
        <x:v>2026-07-15</x:v>
      </x:c>
      <x:c r="B272" t="str">
        <x:v>Email</x:v>
      </x:c>
      <x:c r="C272" t="str">
        <x:v>Brand</x:v>
      </x:c>
      <x:c r="D272" t="n">
        <x:v>3525.43</x:v>
      </x:c>
      <x:c r="E272" t="n">
        <x:v>81693</x:v>
      </x:c>
      <x:c r="F272" t="n">
        <x:v>3233</x:v>
      </x:c>
      <x:c r="G272" t="n">
        <x:v>119</x:v>
      </x:c>
      <x:c r="H272" t="n">
        <x:v>26</x:v>
      </x:c>
      <x:c r="I272" t="n">
        <x:v>6</x:v>
      </x:c>
      <x:c r="J272" t="n">
        <x:v>34742.03</x:v>
      </x:c>
    </x:row>
    <x:row r="273">
      <x:c r="A273" t="str">
        <x:v>2026-02-23</x:v>
      </x:c>
      <x:c r="B273" t="str">
        <x:v>Email</x:v>
      </x:c>
      <x:c r="C273" t="str">
        <x:v>Brand</x:v>
      </x:c>
      <x:c r="D273" t="n">
        <x:v>1785.5</x:v>
      </x:c>
      <x:c r="E273" t="n">
        <x:v>102508</x:v>
      </x:c>
      <x:c r="F273" t="n">
        <x:v>2918</x:v>
      </x:c>
      <x:c r="G273" t="n">
        <x:v>414</x:v>
      </x:c>
      <x:c r="H273" t="n">
        <x:v>165</x:v>
      </x:c>
      <x:c r="I273" t="n">
        <x:v>49</x:v>
      </x:c>
      <x:c r="J273" t="n">
        <x:v>84359.12</x:v>
      </x:c>
    </x:row>
    <x:row r="274">
      <x:c r="A274" t="str">
        <x:v>2026-04-19</x:v>
      </x:c>
      <x:c r="B274" t="str">
        <x:v>Organic</x:v>
      </x:c>
      <x:c r="C274" t="str">
        <x:v>Retargeting</x:v>
      </x:c>
      <x:c r="D274" t="n">
        <x:v>2828.16</x:v>
      </x:c>
      <x:c r="E274" t="n">
        <x:v>101811</x:v>
      </x:c>
      <x:c r="F274" t="n">
        <x:v>4459</x:v>
      </x:c>
      <x:c r="G274" t="n">
        <x:v>694</x:v>
      </x:c>
      <x:c r="H274" t="n">
        <x:v>234</x:v>
      </x:c>
      <x:c r="I274" t="n">
        <x:v>88</x:v>
      </x:c>
      <x:c r="J274" t="n">
        <x:v>450930.52</x:v>
      </x:c>
    </x:row>
    <x:row r="275">
      <x:c r="A275" t="str">
        <x:v>2026-02-22</x:v>
      </x:c>
      <x:c r="B275" t="str">
        <x:v>Organic</x:v>
      </x:c>
      <x:c r="C275" t="str">
        <x:v>Loyalty</x:v>
      </x:c>
      <x:c r="D275" t="n">
        <x:v>3416.94</x:v>
      </x:c>
      <x:c r="E275" t="n">
        <x:v>107006</x:v>
      </x:c>
      <x:c r="F275" t="n">
        <x:v>1566</x:v>
      </x:c>
      <x:c r="G275" t="n">
        <x:v>225</x:v>
      </x:c>
      <x:c r="H275" t="n">
        <x:v>36</x:v>
      </x:c>
      <x:c r="I275" t="n">
        <x:v>16</x:v>
      </x:c>
      <x:c r="J275" t="n">
        <x:v>93972.07</x:v>
      </x:c>
    </x:row>
    <x:row r="276">
      <x:c r="A276" t="str">
        <x:v>2026-03-08</x:v>
      </x:c>
      <x:c r="B276" t="str">
        <x:v>Paid Social</x:v>
      </x:c>
      <x:c r="C276" t="str">
        <x:v>Loyalty</x:v>
      </x:c>
      <x:c r="D276" t="n">
        <x:v>822.05</x:v>
      </x:c>
      <x:c r="E276" t="n">
        <x:v>107348</x:v>
      </x:c>
      <x:c r="F276" t="n">
        <x:v>4417</x:v>
      </x:c>
      <x:c r="G276" t="n">
        <x:v>492</x:v>
      </x:c>
      <x:c r="H276" t="n">
        <x:v>110</x:v>
      </x:c>
      <x:c r="I276" t="n">
        <x:v>24</x:v>
      </x:c>
      <x:c r="J276" t="n">
        <x:v>78609.35</x:v>
      </x:c>
    </x:row>
    <x:row r="277">
      <x:c r="A277" t="str">
        <x:v>2026-04-16</x:v>
      </x:c>
      <x:c r="B277" t="str">
        <x:v>Paid Search</x:v>
      </x:c>
      <x:c r="C277" t="str">
        <x:v>Summer Sale</x:v>
      </x:c>
      <x:c r="D277" t="n">
        <x:v>2618.72</x:v>
      </x:c>
      <x:c r="E277" t="n">
        <x:v>22981</x:v>
      </x:c>
      <x:c r="F277" t="n">
        <x:v>347</x:v>
      </x:c>
      <x:c r="G277" t="n">
        <x:v>47</x:v>
      </x:c>
      <x:c r="H277" t="n">
        <x:v>16</x:v>
      </x:c>
      <x:c r="I277" t="n">
        <x:v>4</x:v>
      </x:c>
      <x:c r="J277" t="n">
        <x:v>10407.71</x:v>
      </x:c>
    </x:row>
    <x:row r="278">
      <x:c r="A278" t="str">
        <x:v>2026-05-12</x:v>
      </x:c>
      <x:c r="B278" t="str">
        <x:v>Organic</x:v>
      </x:c>
      <x:c r="C278" t="str">
        <x:v>Summer Sale</x:v>
      </x:c>
      <x:c r="D278" t="n">
        <x:v>3756.21</x:v>
      </x:c>
      <x:c r="E278" t="n">
        <x:v>51066</x:v>
      </x:c>
      <x:c r="F278" t="n">
        <x:v>2262</x:v>
      </x:c>
      <x:c r="G278" t="n">
        <x:v>113</x:v>
      </x:c>
      <x:c r="H278" t="n">
        <x:v>40</x:v>
      </x:c>
      <x:c r="I278" t="n">
        <x:v>16</x:v>
      </x:c>
      <x:c r="J278" t="n">
        <x:v>41543.55</x:v>
      </x:c>
    </x:row>
    <x:row r="279">
      <x:c r="A279" t="str">
        <x:v>2026-06-11</x:v>
      </x:c>
      <x:c r="B279" t="str">
        <x:v>Paid Search</x:v>
      </x:c>
      <x:c r="C279" t="str">
        <x:v>Loyalty</x:v>
      </x:c>
      <x:c r="D279" t="n">
        <x:v>1813.61</x:v>
      </x:c>
      <x:c r="E279" t="n">
        <x:v>27178</x:v>
      </x:c>
      <x:c r="F279" t="n">
        <x:v>1174</x:v>
      </x:c>
      <x:c r="G279" t="n">
        <x:v>62</x:v>
      </x:c>
      <x:c r="H279" t="n">
        <x:v>27</x:v>
      </x:c>
      <x:c r="I279" t="n">
        <x:v>13</x:v>
      </x:c>
      <x:c r="J279" t="n">
        <x:v>46219.85</x:v>
      </x:c>
    </x:row>
    <x:row r="280">
      <x:c r="A280" t="str">
        <x:v>2026-02-22</x:v>
      </x:c>
      <x:c r="B280" t="str">
        <x:v>Paid Search</x:v>
      </x:c>
      <x:c r="C280" t="str">
        <x:v>Retargeting</x:v>
      </x:c>
      <x:c r="D280" t="n">
        <x:v>247.01</x:v>
      </x:c>
      <x:c r="E280" t="n">
        <x:v>68780</x:v>
      </x:c>
      <x:c r="F280" t="n">
        <x:v>1288</x:v>
      </x:c>
      <x:c r="G280" t="n">
        <x:v>50</x:v>
      </x:c>
      <x:c r="H280" t="n">
        <x:v>11</x:v>
      </x:c>
      <x:c r="I280" t="n">
        <x:v>2</x:v>
      </x:c>
      <x:c r="J280" t="n">
        <x:v>10538.84</x:v>
      </x:c>
    </x:row>
    <x:row r="281">
      <x:c r="A281" t="str">
        <x:v>2026-04-25</x:v>
      </x:c>
      <x:c r="B281" t="str">
        <x:v>Paid Search</x:v>
      </x:c>
      <x:c r="C281" t="str">
        <x:v>Summer Sale</x:v>
      </x:c>
      <x:c r="D281" t="n">
        <x:v>1432.99</x:v>
      </x:c>
      <x:c r="E281" t="n">
        <x:v>66428</x:v>
      </x:c>
      <x:c r="F281" t="n">
        <x:v>2497</x:v>
      </x:c>
      <x:c r="G281" t="n">
        <x:v>183</x:v>
      </x:c>
      <x:c r="H281" t="n">
        <x:v>58</x:v>
      </x:c>
      <x:c r="I281" t="n">
        <x:v>12</x:v>
      </x:c>
      <x:c r="J281" t="n">
        <x:v>47008.41</x:v>
      </x:c>
    </x:row>
    <x:row r="282">
      <x:c r="A282" t="str">
        <x:v>2026-07-12</x:v>
      </x:c>
      <x:c r="B282" t="str">
        <x:v>Organic</x:v>
      </x:c>
      <x:c r="C282" t="str">
        <x:v>Brand</x:v>
      </x:c>
      <x:c r="D282" t="n">
        <x:v>3039.7</x:v>
      </x:c>
      <x:c r="E282" t="n">
        <x:v>48479</x:v>
      </x:c>
      <x:c r="F282" t="n">
        <x:v>2858</x:v>
      </x:c>
      <x:c r="G282" t="n">
        <x:v>327</x:v>
      </x:c>
      <x:c r="H282" t="n">
        <x:v>59</x:v>
      </x:c>
      <x:c r="I282" t="n">
        <x:v>21</x:v>
      </x:c>
      <x:c r="J282" t="n">
        <x:v>78090.47</x:v>
      </x:c>
    </x:row>
    <x:row r="283">
      <x:c r="A283" t="str">
        <x:v>2026-02-18</x:v>
      </x:c>
      <x:c r="B283" t="str">
        <x:v>Affiliate</x:v>
      </x:c>
      <x:c r="C283" t="str">
        <x:v>Retargeting</x:v>
      </x:c>
      <x:c r="D283" t="n">
        <x:v>231.55</x:v>
      </x:c>
      <x:c r="E283" t="n">
        <x:v>16923</x:v>
      </x:c>
      <x:c r="F283" t="n">
        <x:v>702</x:v>
      </x:c>
      <x:c r="G283" t="n">
        <x:v>87</x:v>
      </x:c>
      <x:c r="H283" t="n">
        <x:v>37</x:v>
      </x:c>
      <x:c r="I283" t="n">
        <x:v>15</x:v>
      </x:c>
      <x:c r="J283" t="n">
        <x:v>39872.85</x:v>
      </x:c>
    </x:row>
    <x:row r="284">
      <x:c r="A284" t="str">
        <x:v>2026-03-04</x:v>
      </x:c>
      <x:c r="B284" t="str">
        <x:v>Paid Search</x:v>
      </x:c>
      <x:c r="C284" t="str">
        <x:v>Summer Sale</x:v>
      </x:c>
      <x:c r="D284" t="n">
        <x:v>3040.3</x:v>
      </x:c>
      <x:c r="E284" t="n">
        <x:v>8315</x:v>
      </x:c>
      <x:c r="F284" t="n">
        <x:v>401</x:v>
      </x:c>
      <x:c r="G284" t="n">
        <x:v>62</x:v>
      </x:c>
      <x:c r="H284" t="n">
        <x:v>14</x:v>
      </x:c>
      <x:c r="I284" t="n">
        <x:v>3</x:v>
      </x:c>
      <x:c r="J284" t="n">
        <x:v>14702.96</x:v>
      </x:c>
    </x:row>
    <x:row r="285">
      <x:c r="A285" t="str">
        <x:v>2026-06-24</x:v>
      </x:c>
      <x:c r="B285" t="str">
        <x:v>Paid Social</x:v>
      </x:c>
      <x:c r="C285" t="str">
        <x:v>Brand</x:v>
      </x:c>
      <x:c r="D285" t="n">
        <x:v>3181.54</x:v>
      </x:c>
      <x:c r="E285" t="n">
        <x:v>113841</x:v>
      </x:c>
      <x:c r="F285" t="n">
        <x:v>2747</x:v>
      </x:c>
      <x:c r="G285" t="n">
        <x:v>336</x:v>
      </x:c>
      <x:c r="H285" t="n">
        <x:v>88</x:v>
      </x:c>
      <x:c r="I285" t="n">
        <x:v>37</x:v>
      </x:c>
      <x:c r="J285" t="n">
        <x:v>120850.56</x:v>
      </x:c>
    </x:row>
    <x:row r="286">
      <x:c r="A286" t="str">
        <x:v>2026-02-28</x:v>
      </x:c>
      <x:c r="B286" t="str">
        <x:v>Email</x:v>
      </x:c>
      <x:c r="C286" t="str">
        <x:v>Summer Sale</x:v>
      </x:c>
      <x:c r="D286" t="n">
        <x:v>2294.31</x:v>
      </x:c>
      <x:c r="E286" t="n">
        <x:v>53401</x:v>
      </x:c>
      <x:c r="F286" t="n">
        <x:v>2753</x:v>
      </x:c>
      <x:c r="G286" t="n">
        <x:v>187</x:v>
      </x:c>
      <x:c r="H286" t="n">
        <x:v>31</x:v>
      </x:c>
      <x:c r="I286" t="n">
        <x:v>7</x:v>
      </x:c>
      <x:c r="J286" t="n">
        <x:v>40993.06</x:v>
      </x:c>
    </x:row>
    <x:row r="287">
      <x:c r="A287" t="str">
        <x:v>2026-07-29</x:v>
      </x:c>
      <x:c r="B287" t="str">
        <x:v>Organic</x:v>
      </x:c>
      <x:c r="C287" t="str">
        <x:v>Brand</x:v>
      </x:c>
      <x:c r="D287" t="n">
        <x:v>3790.75</x:v>
      </x:c>
      <x:c r="E287" t="n">
        <x:v>69799</x:v>
      </x:c>
      <x:c r="F287" t="n">
        <x:v>2093</x:v>
      </x:c>
      <x:c r="G287" t="n">
        <x:v>292</x:v>
      </x:c>
      <x:c r="H287" t="n">
        <x:v>131</x:v>
      </x:c>
      <x:c r="I287" t="n">
        <x:v>53</x:v>
      </x:c>
      <x:c r="J287" t="n">
        <x:v>256184.3</x:v>
      </x:c>
    </x:row>
    <x:row r="288">
      <x:c r="A288" t="str">
        <x:v>2026-02-06</x:v>
      </x:c>
      <x:c r="B288" t="str">
        <x:v>Paid Social</x:v>
      </x:c>
      <x:c r="C288" t="str">
        <x:v>Summer Sale</x:v>
      </x:c>
      <x:c r="D288" t="n">
        <x:v>725.54</x:v>
      </x:c>
      <x:c r="E288" t="n">
        <x:v>88460</x:v>
      </x:c>
      <x:c r="F288" t="n">
        <x:v>5168</x:v>
      </x:c>
      <x:c r="G288" t="n">
        <x:v>224</x:v>
      </x:c>
      <x:c r="H288" t="n">
        <x:v>36</x:v>
      </x:c>
      <x:c r="I288" t="n">
        <x:v>12</x:v>
      </x:c>
      <x:c r="J288" t="n">
        <x:v>27680.67</x:v>
      </x:c>
    </x:row>
    <x:row r="289">
      <x:c r="A289" t="str">
        <x:v>2026-07-05</x:v>
      </x:c>
      <x:c r="B289" t="str">
        <x:v>Email</x:v>
      </x:c>
      <x:c r="C289" t="str">
        <x:v>Brand</x:v>
      </x:c>
      <x:c r="D289" t="n">
        <x:v>321.68</x:v>
      </x:c>
      <x:c r="E289" t="n">
        <x:v>85050</x:v>
      </x:c>
      <x:c r="F289" t="n">
        <x:v>4463</x:v>
      </x:c>
      <x:c r="G289" t="n">
        <x:v>660</x:v>
      </x:c>
      <x:c r="H289" t="n">
        <x:v>183</x:v>
      </x:c>
      <x:c r="I289" t="n">
        <x:v>54</x:v>
      </x:c>
      <x:c r="J289" t="n">
        <x:v>272020.98</x:v>
      </x:c>
    </x:row>
    <x:row r="290">
      <x:c r="A290" t="str">
        <x:v>2026-05-12</x:v>
      </x:c>
      <x:c r="B290" t="str">
        <x:v>Organic</x:v>
      </x:c>
      <x:c r="C290" t="str">
        <x:v>Retargeting</x:v>
      </x:c>
      <x:c r="D290" t="n">
        <x:v>438.33</x:v>
      </x:c>
      <x:c r="E290" t="n">
        <x:v>6153</x:v>
      </x:c>
      <x:c r="F290" t="n">
        <x:v>262</x:v>
      </x:c>
      <x:c r="G290" t="n">
        <x:v>40</x:v>
      </x:c>
      <x:c r="H290" t="n">
        <x:v>16</x:v>
      </x:c>
      <x:c r="I290" t="n">
        <x:v>4</x:v>
      </x:c>
      <x:c r="J290" t="n">
        <x:v>11661.18</x:v>
      </x:c>
    </x:row>
    <x:row r="291">
      <x:c r="A291" t="str">
        <x:v>2026-04-24</x:v>
      </x:c>
      <x:c r="B291" t="str">
        <x:v>Affiliate</x:v>
      </x:c>
      <x:c r="C291" t="str">
        <x:v>Retargeting</x:v>
      </x:c>
      <x:c r="D291" t="n">
        <x:v>2356.56</x:v>
      </x:c>
      <x:c r="E291" t="n">
        <x:v>66451</x:v>
      </x:c>
      <x:c r="F291" t="n">
        <x:v>825</x:v>
      </x:c>
      <x:c r="G291" t="n">
        <x:v>64</x:v>
      </x:c>
      <x:c r="H291" t="n">
        <x:v>18</x:v>
      </x:c>
      <x:c r="I291" t="n">
        <x:v>9</x:v>
      </x:c>
      <x:c r="J291" t="n">
        <x:v>58234.48</x:v>
      </x:c>
    </x:row>
    <x:row r="292">
      <x:c r="A292" t="str">
        <x:v>2026-02-09</x:v>
      </x:c>
      <x:c r="B292" t="str">
        <x:v>Organic</x:v>
      </x:c>
      <x:c r="C292" t="str">
        <x:v>Loyalty</x:v>
      </x:c>
      <x:c r="D292" t="n">
        <x:v>2555.5</x:v>
      </x:c>
      <x:c r="E292" t="n">
        <x:v>111318</x:v>
      </x:c>
      <x:c r="F292" t="n">
        <x:v>5577</x:v>
      </x:c>
      <x:c r="G292" t="n">
        <x:v>771</x:v>
      </x:c>
      <x:c r="H292" t="n">
        <x:v>192</x:v>
      </x:c>
      <x:c r="I292" t="n">
        <x:v>82</x:v>
      </x:c>
      <x:c r="J292" t="n">
        <x:v>367125.07</x:v>
      </x:c>
    </x:row>
    <x:row r="293">
      <x:c r="A293" t="str">
        <x:v>2026-04-18</x:v>
      </x:c>
      <x:c r="B293" t="str">
        <x:v>Email</x:v>
      </x:c>
      <x:c r="C293" t="str">
        <x:v>New Product</x:v>
      </x:c>
      <x:c r="D293" t="n">
        <x:v>2694.69</x:v>
      </x:c>
      <x:c r="E293" t="n">
        <x:v>22937</x:v>
      </x:c>
      <x:c r="F293" t="n">
        <x:v>540</x:v>
      </x:c>
      <x:c r="G293" t="n">
        <x:v>44</x:v>
      </x:c>
      <x:c r="H293" t="n">
        <x:v>18</x:v>
      </x:c>
      <x:c r="I293" t="n">
        <x:v>3</x:v>
      </x:c>
      <x:c r="J293" t="n">
        <x:v>6885.9</x:v>
      </x:c>
    </x:row>
    <x:row r="294">
      <x:c r="A294" t="str">
        <x:v>2026-06-23</x:v>
      </x:c>
      <x:c r="B294" t="str">
        <x:v>Organic</x:v>
      </x:c>
      <x:c r="C294" t="str">
        <x:v>Brand</x:v>
      </x:c>
      <x:c r="D294" t="n">
        <x:v>758.29</x:v>
      </x:c>
      <x:c r="E294" t="n">
        <x:v>80900</x:v>
      </x:c>
      <x:c r="F294" t="n">
        <x:v>2212</x:v>
      </x:c>
      <x:c r="G294" t="n">
        <x:v>259</x:v>
      </x:c>
      <x:c r="H294" t="n">
        <x:v>71</x:v>
      </x:c>
      <x:c r="I294" t="n">
        <x:v>27</x:v>
      </x:c>
      <x:c r="J294" t="n">
        <x:v>120850.03</x:v>
      </x:c>
    </x:row>
    <x:row r="295">
      <x:c r="A295" t="str">
        <x:v>2026-04-12</x:v>
      </x:c>
      <x:c r="B295" t="str">
        <x:v>Email</x:v>
      </x:c>
      <x:c r="C295" t="str">
        <x:v>Brand</x:v>
      </x:c>
      <x:c r="D295" t="n">
        <x:v>1063.53</x:v>
      </x:c>
      <x:c r="E295" t="n">
        <x:v>31584</x:v>
      </x:c>
      <x:c r="F295" t="n">
        <x:v>1152</x:v>
      </x:c>
      <x:c r="G295" t="n">
        <x:v>53</x:v>
      </x:c>
      <x:c r="H295" t="n">
        <x:v>21</x:v>
      </x:c>
      <x:c r="I295" t="n">
        <x:v>6</x:v>
      </x:c>
      <x:c r="J295" t="n">
        <x:v>10504.77</x:v>
      </x:c>
    </x:row>
    <x:row r="296">
      <x:c r="A296" t="str">
        <x:v>2026-05-16</x:v>
      </x:c>
      <x:c r="B296" t="str">
        <x:v>Email</x:v>
      </x:c>
      <x:c r="C296" t="str">
        <x:v>New Product</x:v>
      </x:c>
      <x:c r="D296" t="n">
        <x:v>1062.56</x:v>
      </x:c>
      <x:c r="E296" t="n">
        <x:v>65051</x:v>
      </x:c>
      <x:c r="F296" t="n">
        <x:v>1286</x:v>
      </x:c>
      <x:c r="G296" t="n">
        <x:v>149</x:v>
      </x:c>
      <x:c r="H296" t="n">
        <x:v>27</x:v>
      </x:c>
      <x:c r="I296" t="n">
        <x:v>10</x:v>
      </x:c>
      <x:c r="J296" t="n">
        <x:v>46130.44</x:v>
      </x:c>
    </x:row>
    <x:row r="297">
      <x:c r="A297" t="str">
        <x:v>2026-01-21</x:v>
      </x:c>
      <x:c r="B297" t="str">
        <x:v>Organic</x:v>
      </x:c>
      <x:c r="C297" t="str">
        <x:v>Brand</x:v>
      </x:c>
      <x:c r="D297" t="n">
        <x:v>3241.27</x:v>
      </x:c>
      <x:c r="E297" t="n">
        <x:v>22600</x:v>
      </x:c>
      <x:c r="F297" t="n">
        <x:v>1195</x:v>
      </x:c>
      <x:c r="G297" t="n">
        <x:v>134</x:v>
      </x:c>
      <x:c r="H297" t="n">
        <x:v>48</x:v>
      </x:c>
      <x:c r="I297" t="n">
        <x:v>22</x:v>
      </x:c>
      <x:c r="J297" t="n">
        <x:v>41024.67</x:v>
      </x:c>
    </x:row>
    <x:row r="298">
      <x:c r="A298" t="str">
        <x:v>2026-07-04</x:v>
      </x:c>
      <x:c r="B298" t="str">
        <x:v>Affiliate</x:v>
      </x:c>
      <x:c r="C298" t="str">
        <x:v>Brand</x:v>
      </x:c>
      <x:c r="D298" t="n">
        <x:v>1947.95</x:v>
      </x:c>
      <x:c r="E298" t="n">
        <x:v>94910</x:v>
      </x:c>
      <x:c r="F298" t="n">
        <x:v>2693</x:v>
      </x:c>
      <x:c r="G298" t="n">
        <x:v>149</x:v>
      </x:c>
      <x:c r="H298" t="n">
        <x:v>65</x:v>
      </x:c>
      <x:c r="I298" t="n">
        <x:v>25</x:v>
      </x:c>
      <x:c r="J298" t="n">
        <x:v>142372.1</x:v>
      </x:c>
    </x:row>
    <x:row r="299">
      <x:c r="A299" t="str">
        <x:v>2026-02-05</x:v>
      </x:c>
      <x:c r="B299" t="str">
        <x:v>Email</x:v>
      </x:c>
      <x:c r="C299" t="str">
        <x:v>Loyalty</x:v>
      </x:c>
      <x:c r="D299" t="n">
        <x:v>418.71</x:v>
      </x:c>
      <x:c r="E299" t="n">
        <x:v>36051</x:v>
      </x:c>
      <x:c r="F299" t="n">
        <x:v>376</x:v>
      </x:c>
      <x:c r="G299" t="n">
        <x:v>13</x:v>
      </x:c>
      <x:c r="H299" t="n">
        <x:v>4</x:v>
      </x:c>
      <x:c r="I299" t="n">
        <x:v>2</x:v>
      </x:c>
      <x:c r="J299" t="n">
        <x:v>7732.59</x:v>
      </x:c>
    </x:row>
    <x:row r="300">
      <x:c r="A300" t="str">
        <x:v>2026-01-31</x:v>
      </x:c>
      <x:c r="B300" t="str">
        <x:v>Paid Social</x:v>
      </x:c>
      <x:c r="C300" t="str">
        <x:v>New Product</x:v>
      </x:c>
      <x:c r="D300" t="n">
        <x:v>3652.43</x:v>
      </x:c>
      <x:c r="E300" t="n">
        <x:v>16495</x:v>
      </x:c>
      <x:c r="F300" t="n">
        <x:v>664</x:v>
      </x:c>
      <x:c r="G300" t="n">
        <x:v>106</x:v>
      </x:c>
      <x:c r="H300" t="n">
        <x:v>33</x:v>
      </x:c>
      <x:c r="I300" t="n">
        <x:v>17</x:v>
      </x:c>
      <x:c r="J300" t="n">
        <x:v>106258.36</x:v>
      </x:c>
    </x:row>
    <x:row r="301">
      <x:c r="A301" t="str">
        <x:v>2026-02-13</x:v>
      </x:c>
      <x:c r="B301" t="str">
        <x:v>Email</x:v>
      </x:c>
      <x:c r="C301" t="str">
        <x:v>Retargeting</x:v>
      </x:c>
      <x:c r="D301" t="n">
        <x:v>3255.62</x:v>
      </x:c>
      <x:c r="E301" t="n">
        <x:v>101478</x:v>
      </x:c>
      <x:c r="F301" t="n">
        <x:v>4402</x:v>
      </x:c>
      <x:c r="G301" t="n">
        <x:v>677</x:v>
      </x:c>
      <x:c r="H301" t="n">
        <x:v>126</x:v>
      </x:c>
      <x:c r="I301" t="n">
        <x:v>41</x:v>
      </x:c>
      <x:c r="J301" t="n">
        <x:v>224517.9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8" t="str">
        <x:v>MarTech Campaign Performance Dashboard</x:v>
      </x:c>
      <x:c r="B1" s="8"/>
      <x:c r="C1" s="8"/>
      <x:c r="D1" s="8"/>
      <x:c r="E1" s="8"/>
      <x:c r="F1" s="8"/>
      <x:c r="G1" s="8"/>
      <x:c r="H1" s="8"/>
    </x:row>
    <x:row r="3">
      <x:c r="A3" s="13" t="str">
        <x:v>KPI</x:v>
      </x:c>
      <x:c r="B3" s="13" t="str">
        <x:v>Definition</x:v>
      </x:c>
      <x:c r="D3" s="13" t="str">
        <x:v>KPI</x:v>
      </x:c>
      <x:c r="E3" s="13" t="str">
        <x:v>Value</x:v>
      </x:c>
    </x:row>
    <x:row r="4">
      <x:c r="A4" t="str">
        <x:v>Total Spend</x:v>
      </x:c>
      <x:c r="B4" t="str">
        <x:v>SUM spend</x:v>
      </x:c>
      <x:c r="D4" t="str">
        <x:v>Total Spend</x:v>
      </x:c>
      <x:c r="E4" t="n">
        <x:f>SUM(Data!D2:D301)</x:f>
        <x:v>631811.3500000006</x:v>
      </x:c>
    </x:row>
    <x:row r="5">
      <x:c r="A5" t="str">
        <x:v>Total Revenue</x:v>
      </x:c>
      <x:c r="B5" t="str">
        <x:v>SUM revenue</x:v>
      </x:c>
      <x:c r="D5" t="str">
        <x:v>Total Revenue</x:v>
      </x:c>
      <x:c r="E5" t="n">
        <x:f>SUM(Data!J2:J301)</x:f>
        <x:v>26373427.99000001</x:v>
      </x:c>
    </x:row>
    <x:row r="6">
      <x:c r="A6" t="str">
        <x:v>ROAS</x:v>
      </x:c>
      <x:c r="B6" t="str">
        <x:v>Revenue / Spend</x:v>
      </x:c>
      <x:c r="D6" t="str">
        <x:v>ROAS</x:v>
      </x:c>
      <x:c r="E6" t="n">
        <x:f>E5/E4</x:f>
        <x:v>41.7425676034468</x:v>
      </x:c>
    </x:row>
    <x:row r="7">
      <x:c r="A7" t="str">
        <x:v>CPL</x:v>
      </x:c>
      <x:c r="B7" t="str">
        <x:v>Spend / Leads</x:v>
      </x:c>
      <x:c r="D7" t="str">
        <x:v>CPL</x:v>
      </x:c>
      <x:c r="E7" t="n">
        <x:f>E4/SUM(Data!G2:G301)</x:f>
        <x:v>10.254846537144351</x:v>
      </x:c>
    </x:row>
    <x:row r="11">
      <x:c r="A11" s="3" t="str">
        <x:v>Channel</x:v>
      </x:c>
      <x:c r="B11" s="3" t="str">
        <x:v>Total Spend</x:v>
      </x:c>
      <x:c r="C11" s="3" t="str">
        <x:v>Total Revenue</x:v>
      </x:c>
      <x:c r="D11" s="3" t="str">
        <x:v>Variance / Rate</x:v>
      </x:c>
    </x:row>
    <x:row r="12">
      <x:c r="A12" t="str">
        <x:v>Paid Search</x:v>
      </x:c>
      <x:c r="B12" t="n">
        <x:f>SUMIF(Data!B$2:B$301,A12,Data!D$2:D$301)</x:f>
        <x:v>111830.50000000003</x:v>
      </x:c>
      <x:c r="C12" t="n">
        <x:f>SUMIF(Data!B$2:B$301,A12,Data!J$2:J$301)</x:f>
        <x:v>3790024.639999999</x:v>
      </x:c>
      <x:c r="D12" t="n">
        <x:f>C12/B12</x:f>
        <x:v>33.89079580257621</x:v>
      </x:c>
    </x:row>
    <x:row r="13">
      <x:c r="A13" t="str">
        <x:v>Paid Social</x:v>
      </x:c>
      <x:c r="B13" t="n">
        <x:f>SUMIF(Data!B$2:B$301,A13,Data!D$2:D$301)</x:f>
        <x:v>127011.48999999999</x:v>
      </x:c>
      <x:c r="C13" t="n">
        <x:f>SUMIF(Data!B$2:B$301,A13,Data!J$2:J$301)</x:f>
        <x:v>5451325.159999997</x:v>
      </x:c>
      <x:c r="D13" t="n">
        <x:f>C13/B13</x:f>
        <x:v>42.919937086006925</x:v>
      </x:c>
    </x:row>
    <x:row r="14">
      <x:c r="A14" t="str">
        <x:v>Email</x:v>
      </x:c>
      <x:c r="B14" t="n">
        <x:f>SUMIF(Data!B$2:B$301,A14,Data!D$2:D$301)</x:f>
        <x:v>135575.85999999996</x:v>
      </x:c>
      <x:c r="C14" t="n">
        <x:f>SUMIF(Data!B$2:B$301,A14,Data!J$2:J$301)</x:f>
        <x:v>6734154.420000001</x:v>
      </x:c>
      <x:c r="D14" t="n">
        <x:f>C14/B14</x:f>
        <x:v>49.67074831758399</x:v>
      </x:c>
    </x:row>
    <x:row r="15">
      <x:c r="A15" t="str">
        <x:v>Organic</x:v>
      </x:c>
      <x:c r="B15" t="n">
        <x:f>SUMIF(Data!B$2:B$301,A15,Data!D$2:D$301)</x:f>
        <x:v>139805.22</x:v>
      </x:c>
      <x:c r="C15" t="n">
        <x:f>SUMIF(Data!B$2:B$301,A15,Data!J$2:J$301)</x:f>
        <x:v>5437437.2299999995</x:v>
      </x:c>
      <x:c r="D15" t="n">
        <x:f>C15/B15</x:f>
        <x:v>38.89294856086203</x:v>
      </x:c>
    </x:row>
    <x:row r="16">
      <x:c r="A16" t="str">
        <x:v>Affiliate</x:v>
      </x:c>
      <x:c r="B16" t="n">
        <x:f>SUMIF(Data!B$2:B$301,A16,Data!D$2:D$301)</x:f>
        <x:v>117588.28000000001</x:v>
      </x:c>
      <x:c r="C16" t="n">
        <x:f>SUMIF(Data!B$2:B$301,A16,Data!J$2:J$301)</x:f>
        <x:v>4960486.539999999</x:v>
      </x:c>
      <x:c r="D16" t="n">
        <x:f>C16/B16</x:f>
        <x:v>42.18521216570222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KPI</x:v>
      </x:c>
      <x:c r="B1" s="3" t="str">
        <x:v>Definition</x:v>
      </x:c>
      <x:c r="C1" s="3" t="str">
        <x:v>Owner</x:v>
      </x:c>
      <x:c r="D1" s="3" t="str">
        <x:v>Refresh</x:v>
      </x:c>
    </x:row>
    <x:row r="2">
      <x:c r="A2" t="str">
        <x:v>Total Spend</x:v>
      </x:c>
      <x:c r="B2" t="str">
        <x:v>SUM spend</x:v>
      </x:c>
      <x:c r="C2" t="str">
        <x:v>Business Owner</x:v>
      </x:c>
      <x:c r="D2" t="str">
        <x:v>Daily/Monthly</x:v>
      </x:c>
    </x:row>
    <x:row r="3">
      <x:c r="A3" t="str">
        <x:v>Total Revenue</x:v>
      </x:c>
      <x:c r="B3" t="str">
        <x:v>SUM revenue</x:v>
      </x:c>
      <x:c r="C3" t="str">
        <x:v>Business Owner</x:v>
      </x:c>
      <x:c r="D3" t="str">
        <x:v>Daily/Monthly</x:v>
      </x:c>
    </x:row>
    <x:row r="4">
      <x:c r="A4" t="str">
        <x:v>ROAS</x:v>
      </x:c>
      <x:c r="B4" t="str">
        <x:v>Revenue / Spend</x:v>
      </x:c>
      <x:c r="C4" t="str">
        <x:v>Business Owner</x:v>
      </x:c>
      <x:c r="D4" t="str">
        <x:v>Daily/Monthly</x:v>
      </x:c>
    </x:row>
    <x:row r="5">
      <x:c r="A5" t="str">
        <x:v>CPL</x:v>
      </x:c>
      <x:c r="B5" t="str">
        <x:v>Spend / Leads</x:v>
      </x:c>
      <x:c r="C5" t="str">
        <x:v>Business Owner</x:v>
      </x:c>
      <x:c r="D5" t="str">
        <x:v>Daily/Monthly</x:v>
      </x:c>
    </x:row>
  </x:sheetData>
  <x:pageMargins left="0.7" right="0.7" top="0.75" bottom="0.75" header="0.3" footer="0.3"/>
</x:worksheet>
</file>